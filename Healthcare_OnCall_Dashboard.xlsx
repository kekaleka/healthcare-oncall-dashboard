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keonalollis/Documents/healthcare-operations-dashboard/"/>
    </mc:Choice>
  </mc:AlternateContent>
  <xr:revisionPtr revIDLastSave="0" documentId="13_ncr:1_{D8694244-66D6-EF42-B6D8-7C8EC6AC324C}" xr6:coauthVersionLast="47" xr6:coauthVersionMax="47" xr10:uidLastSave="{00000000-0000-0000-0000-000000000000}"/>
  <bookViews>
    <workbookView xWindow="0" yWindow="600" windowWidth="28800" windowHeight="16240" firstSheet="1" activeTab="7" xr2:uid="{00000000-000D-0000-FFFF-FFFF00000000}"/>
  </bookViews>
  <sheets>
    <sheet name="Providers" sheetId="1" r:id="rId1"/>
    <sheet name="Schedule" sheetId="2" r:id="rId2"/>
    <sheet name="Lookup" sheetId="3" r:id="rId3"/>
    <sheet name="Lists" sheetId="4" r:id="rId4"/>
    <sheet name="Pivot - Provider Workload" sheetId="5" r:id="rId5"/>
    <sheet name="Pivot - Department Coverage" sheetId="6" r:id="rId6"/>
    <sheet name="Pivot - Schedule Status" sheetId="7" r:id="rId7"/>
    <sheet name="Pivot - Provider Levels" sheetId="8" r:id="rId8"/>
  </sheets>
  <calcPr calcId="191029"/>
  <pivotCaches>
    <pivotCache cacheId="58" r:id="rId9"/>
    <pivotCache cacheId="66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" l="1" a="1"/>
  <c r="C17" i="3" s="1"/>
  <c r="C16" i="3" a="1"/>
  <c r="C16" i="3" s="1"/>
  <c r="C15" i="3" a="1"/>
  <c r="C15" i="3" s="1"/>
  <c r="C9" i="3" a="1"/>
  <c r="C9" i="3" s="1"/>
  <c r="C14" i="3" s="1"/>
  <c r="C2" i="4" a="1"/>
  <c r="C2" i="4" s="1"/>
  <c r="A2" i="4" a="1"/>
  <c r="A2" i="4" s="1"/>
  <c r="B2" i="4" a="1"/>
  <c r="B2" i="4" s="1"/>
  <c r="C19" i="3" l="1"/>
  <c r="C20" i="3"/>
  <c r="C18" i="3"/>
  <c r="C13" i="3"/>
  <c r="C10" i="3"/>
  <c r="C11" i="3"/>
  <c r="C1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<sst xmlns="http://schemas.openxmlformats.org/spreadsheetml/2006/main" count="9176" uniqueCount="1496">
  <si>
    <t>Provider ID</t>
  </si>
  <si>
    <t>Provider Name</t>
  </si>
  <si>
    <t>Primary Department</t>
  </si>
  <si>
    <t>Specialty</t>
  </si>
  <si>
    <t>Provider Level</t>
  </si>
  <si>
    <t>Hire Date</t>
  </si>
  <si>
    <t>Years of Experience</t>
  </si>
  <si>
    <t>Employment Type</t>
  </si>
  <si>
    <t>Shift Preference</t>
  </si>
  <si>
    <t>Status</t>
  </si>
  <si>
    <t>Phone Number</t>
  </si>
  <si>
    <t>Extension</t>
  </si>
  <si>
    <t>Email</t>
  </si>
  <si>
    <t>DR001</t>
  </si>
  <si>
    <t>Pediatrics</t>
  </si>
  <si>
    <t>Fellow</t>
  </si>
  <si>
    <t>Part-Time</t>
  </si>
  <si>
    <t>Both</t>
  </si>
  <si>
    <t>Active</t>
  </si>
  <si>
    <t>DR002</t>
  </si>
  <si>
    <t>Radiology</t>
  </si>
  <si>
    <t>Resident</t>
  </si>
  <si>
    <t>PRN</t>
  </si>
  <si>
    <t>Day</t>
  </si>
  <si>
    <t>Vacation</t>
  </si>
  <si>
    <t>DR003</t>
  </si>
  <si>
    <t>Attending</t>
  </si>
  <si>
    <t>Full-Time</t>
  </si>
  <si>
    <t>DR004</t>
  </si>
  <si>
    <t>General Surgery</t>
  </si>
  <si>
    <t>Night</t>
  </si>
  <si>
    <t>DR005</t>
  </si>
  <si>
    <t>Emergency Medicine</t>
  </si>
  <si>
    <t>Trauma</t>
  </si>
  <si>
    <t>On Leave</t>
  </si>
  <si>
    <t>DR006</t>
  </si>
  <si>
    <t>Neurology</t>
  </si>
  <si>
    <t>DR007</t>
  </si>
  <si>
    <t>Orthopedics</t>
  </si>
  <si>
    <t>Orthopedic Surgery</t>
  </si>
  <si>
    <t>DR008</t>
  </si>
  <si>
    <t>DR009</t>
  </si>
  <si>
    <t>DR010</t>
  </si>
  <si>
    <t>DR011</t>
  </si>
  <si>
    <t>DR012</t>
  </si>
  <si>
    <t>DR013</t>
  </si>
  <si>
    <t>DR014</t>
  </si>
  <si>
    <t>DR015</t>
  </si>
  <si>
    <t>Cardiology</t>
  </si>
  <si>
    <t>DR016</t>
  </si>
  <si>
    <t>Internal Medicine</t>
  </si>
  <si>
    <t>DR017</t>
  </si>
  <si>
    <t>DR018</t>
  </si>
  <si>
    <t>DR019</t>
  </si>
  <si>
    <t>DR020</t>
  </si>
  <si>
    <t>DR021</t>
  </si>
  <si>
    <t>Intensive Care</t>
  </si>
  <si>
    <t>Critical Care</t>
  </si>
  <si>
    <t>DR022</t>
  </si>
  <si>
    <t>DR023</t>
  </si>
  <si>
    <t>DR024</t>
  </si>
  <si>
    <t>DR025</t>
  </si>
  <si>
    <t>DR026</t>
  </si>
  <si>
    <t>DR027</t>
  </si>
  <si>
    <t>DR028</t>
  </si>
  <si>
    <t>DR029</t>
  </si>
  <si>
    <t>DR030</t>
  </si>
  <si>
    <t>DR031</t>
  </si>
  <si>
    <t>DR032</t>
  </si>
  <si>
    <t>DR033</t>
  </si>
  <si>
    <t>DR034</t>
  </si>
  <si>
    <t>DR035</t>
  </si>
  <si>
    <t>Obstetrics</t>
  </si>
  <si>
    <t>Maternal-Fetal Medicine</t>
  </si>
  <si>
    <t>DR036</t>
  </si>
  <si>
    <t>DR037</t>
  </si>
  <si>
    <t>DR038</t>
  </si>
  <si>
    <t>DR039</t>
  </si>
  <si>
    <t>DR040</t>
  </si>
  <si>
    <t>DR041</t>
  </si>
  <si>
    <t>DR042</t>
  </si>
  <si>
    <t>DR043</t>
  </si>
  <si>
    <t>DR044</t>
  </si>
  <si>
    <t>DR045</t>
  </si>
  <si>
    <t>DR046</t>
  </si>
  <si>
    <t>DR047</t>
  </si>
  <si>
    <t>DR048</t>
  </si>
  <si>
    <t>DR049</t>
  </si>
  <si>
    <t>DR050</t>
  </si>
  <si>
    <t>Schedule ID</t>
  </si>
  <si>
    <t>Date</t>
  </si>
  <si>
    <t>Day of Week</t>
  </si>
  <si>
    <t>Time Period</t>
  </si>
  <si>
    <t>Department</t>
  </si>
  <si>
    <t>Shift</t>
  </si>
  <si>
    <t>Start Date/Time</t>
  </si>
  <si>
    <t>End Date/Time</t>
  </si>
  <si>
    <t>Shift Length</t>
  </si>
  <si>
    <t>Schedule Status</t>
  </si>
  <si>
    <t>SCH00001</t>
  </si>
  <si>
    <t>Tuesday</t>
  </si>
  <si>
    <t>Historical</t>
  </si>
  <si>
    <t>Completed</t>
  </si>
  <si>
    <t>SCH00002</t>
  </si>
  <si>
    <t>SCH00003</t>
  </si>
  <si>
    <t>SCH00004</t>
  </si>
  <si>
    <t>SCH00005</t>
  </si>
  <si>
    <t>SCH00006</t>
  </si>
  <si>
    <t>SCH00007</t>
  </si>
  <si>
    <t>SCH00008</t>
  </si>
  <si>
    <t>SCH00009</t>
  </si>
  <si>
    <t>SCH00010</t>
  </si>
  <si>
    <t>SCH00011</t>
  </si>
  <si>
    <t>SCH00012</t>
  </si>
  <si>
    <t>SCH00013</t>
  </si>
  <si>
    <t>SCH00014</t>
  </si>
  <si>
    <t>SCH00015</t>
  </si>
  <si>
    <t>SCH00016</t>
  </si>
  <si>
    <t>SCH00017</t>
  </si>
  <si>
    <t>SCH00018</t>
  </si>
  <si>
    <t>SCH00019</t>
  </si>
  <si>
    <t>SCH00020</t>
  </si>
  <si>
    <t>SCH00021</t>
  </si>
  <si>
    <t>Wednesday</t>
  </si>
  <si>
    <t>SCH00022</t>
  </si>
  <si>
    <t>SCH00023</t>
  </si>
  <si>
    <t>SCH00024</t>
  </si>
  <si>
    <t>SCH00025</t>
  </si>
  <si>
    <t>SCH00026</t>
  </si>
  <si>
    <t>SCH00027</t>
  </si>
  <si>
    <t>SCH00028</t>
  </si>
  <si>
    <t>SCH00029</t>
  </si>
  <si>
    <t>SCH00030</t>
  </si>
  <si>
    <t>SCH00031</t>
  </si>
  <si>
    <t>SCH00032</t>
  </si>
  <si>
    <t>SCH00033</t>
  </si>
  <si>
    <t>SCH00034</t>
  </si>
  <si>
    <t>SCH00035</t>
  </si>
  <si>
    <t>SCH00036</t>
  </si>
  <si>
    <t>SCH00037</t>
  </si>
  <si>
    <t>SCH00038</t>
  </si>
  <si>
    <t>SCH00039</t>
  </si>
  <si>
    <t>SCH00040</t>
  </si>
  <si>
    <t>SCH00041</t>
  </si>
  <si>
    <t>Thursday</t>
  </si>
  <si>
    <t>SCH00042</t>
  </si>
  <si>
    <t>SCH00043</t>
  </si>
  <si>
    <t>SCH00044</t>
  </si>
  <si>
    <t>SCH00045</t>
  </si>
  <si>
    <t>SCH00046</t>
  </si>
  <si>
    <t>SCH00047</t>
  </si>
  <si>
    <t>SCH00048</t>
  </si>
  <si>
    <t>SCH00049</t>
  </si>
  <si>
    <t>SCH00050</t>
  </si>
  <si>
    <t>SCH00051</t>
  </si>
  <si>
    <t>SCH00052</t>
  </si>
  <si>
    <t>SCH00053</t>
  </si>
  <si>
    <t>SCH00054</t>
  </si>
  <si>
    <t>SCH00055</t>
  </si>
  <si>
    <t>SCH00056</t>
  </si>
  <si>
    <t>SCH00057</t>
  </si>
  <si>
    <t>SCH00058</t>
  </si>
  <si>
    <t>SCH00059</t>
  </si>
  <si>
    <t>SCH00060</t>
  </si>
  <si>
    <t>SCH00061</t>
  </si>
  <si>
    <t>Friday</t>
  </si>
  <si>
    <t>SCH00062</t>
  </si>
  <si>
    <t>SCH00063</t>
  </si>
  <si>
    <t>SCH00064</t>
  </si>
  <si>
    <t>SCH00065</t>
  </si>
  <si>
    <t>SCH00066</t>
  </si>
  <si>
    <t>SCH00067</t>
  </si>
  <si>
    <t>SCH00068</t>
  </si>
  <si>
    <t>SCH00069</t>
  </si>
  <si>
    <t>SCH00070</t>
  </si>
  <si>
    <t>SCH00071</t>
  </si>
  <si>
    <t>SCH00072</t>
  </si>
  <si>
    <t>SCH00073</t>
  </si>
  <si>
    <t>SCH00074</t>
  </si>
  <si>
    <t>SCH00075</t>
  </si>
  <si>
    <t>SCH00076</t>
  </si>
  <si>
    <t>SCH00077</t>
  </si>
  <si>
    <t>SCH00078</t>
  </si>
  <si>
    <t>SCH00079</t>
  </si>
  <si>
    <t>SCH00080</t>
  </si>
  <si>
    <t>SCH00081</t>
  </si>
  <si>
    <t>Saturday</t>
  </si>
  <si>
    <t>SCH00082</t>
  </si>
  <si>
    <t>SCH00083</t>
  </si>
  <si>
    <t>SCH00084</t>
  </si>
  <si>
    <t>SCH00085</t>
  </si>
  <si>
    <t>SCH00086</t>
  </si>
  <si>
    <t>SCH00087</t>
  </si>
  <si>
    <t>SCH00088</t>
  </si>
  <si>
    <t>SCH00089</t>
  </si>
  <si>
    <t>SCH00090</t>
  </si>
  <si>
    <t>SCH00091</t>
  </si>
  <si>
    <t>SCH00092</t>
  </si>
  <si>
    <t>SCH00093</t>
  </si>
  <si>
    <t>SCH00094</t>
  </si>
  <si>
    <t>SCH00095</t>
  </si>
  <si>
    <t>SCH00096</t>
  </si>
  <si>
    <t>SCH00097</t>
  </si>
  <si>
    <t>SCH00098</t>
  </si>
  <si>
    <t>SCH00099</t>
  </si>
  <si>
    <t>SCH00100</t>
  </si>
  <si>
    <t>SCH00101</t>
  </si>
  <si>
    <t>Sunday</t>
  </si>
  <si>
    <t>SCH00102</t>
  </si>
  <si>
    <t>SCH00103</t>
  </si>
  <si>
    <t>SCH00104</t>
  </si>
  <si>
    <t>SCH00105</t>
  </si>
  <si>
    <t>SCH00106</t>
  </si>
  <si>
    <t>SCH00107</t>
  </si>
  <si>
    <t>SCH00108</t>
  </si>
  <si>
    <t>SCH00109</t>
  </si>
  <si>
    <t>SCH00110</t>
  </si>
  <si>
    <t>SCH00111</t>
  </si>
  <si>
    <t>SCH00112</t>
  </si>
  <si>
    <t>SCH00113</t>
  </si>
  <si>
    <t>SCH00114</t>
  </si>
  <si>
    <t>SCH00115</t>
  </si>
  <si>
    <t>SCH00116</t>
  </si>
  <si>
    <t>SCH00117</t>
  </si>
  <si>
    <t>SCH00118</t>
  </si>
  <si>
    <t>SCH00119</t>
  </si>
  <si>
    <t>SCH00120</t>
  </si>
  <si>
    <t>SCH00121</t>
  </si>
  <si>
    <t>Monday</t>
  </si>
  <si>
    <t>SCH00122</t>
  </si>
  <si>
    <t>SCH00123</t>
  </si>
  <si>
    <t>SCH00124</t>
  </si>
  <si>
    <t>SCH00125</t>
  </si>
  <si>
    <t>SCH00126</t>
  </si>
  <si>
    <t>SCH00127</t>
  </si>
  <si>
    <t>SCH00128</t>
  </si>
  <si>
    <t>SCH00129</t>
  </si>
  <si>
    <t>SCH00130</t>
  </si>
  <si>
    <t>SCH00131</t>
  </si>
  <si>
    <t>SCH00132</t>
  </si>
  <si>
    <t>SCH00133</t>
  </si>
  <si>
    <t>SCH00134</t>
  </si>
  <si>
    <t>SCH00135</t>
  </si>
  <si>
    <t>SCH00136</t>
  </si>
  <si>
    <t>SCH00137</t>
  </si>
  <si>
    <t>SCH00138</t>
  </si>
  <si>
    <t>SCH00139</t>
  </si>
  <si>
    <t>SCH00140</t>
  </si>
  <si>
    <t>SCH00141</t>
  </si>
  <si>
    <t>SCH00142</t>
  </si>
  <si>
    <t>SCH00143</t>
  </si>
  <si>
    <t>SCH00144</t>
  </si>
  <si>
    <t>SCH00145</t>
  </si>
  <si>
    <t>SCH00146</t>
  </si>
  <si>
    <t>SCH00147</t>
  </si>
  <si>
    <t>SCH00148</t>
  </si>
  <si>
    <t>SCH00149</t>
  </si>
  <si>
    <t>SCH00150</t>
  </si>
  <si>
    <t>SCH00151</t>
  </si>
  <si>
    <t>SCH00152</t>
  </si>
  <si>
    <t>SCH00153</t>
  </si>
  <si>
    <t>SCH00154</t>
  </si>
  <si>
    <t>SCH00155</t>
  </si>
  <si>
    <t>SCH00156</t>
  </si>
  <si>
    <t>SCH00157</t>
  </si>
  <si>
    <t>SCH00158</t>
  </si>
  <si>
    <t>SCH00159</t>
  </si>
  <si>
    <t>SCH00160</t>
  </si>
  <si>
    <t>SCH00161</t>
  </si>
  <si>
    <t>SCH00162</t>
  </si>
  <si>
    <t>SCH00163</t>
  </si>
  <si>
    <t>SCH00164</t>
  </si>
  <si>
    <t>SCH00165</t>
  </si>
  <si>
    <t>SCH00166</t>
  </si>
  <si>
    <t>SCH00167</t>
  </si>
  <si>
    <t>SCH00168</t>
  </si>
  <si>
    <t>SCH00169</t>
  </si>
  <si>
    <t>SCH00170</t>
  </si>
  <si>
    <t>SCH00171</t>
  </si>
  <si>
    <t>SCH00172</t>
  </si>
  <si>
    <t>SCH00173</t>
  </si>
  <si>
    <t>SCH00174</t>
  </si>
  <si>
    <t>SCH00175</t>
  </si>
  <si>
    <t>SCH00176</t>
  </si>
  <si>
    <t>SCH00177</t>
  </si>
  <si>
    <t>SCH00178</t>
  </si>
  <si>
    <t>SCH00179</t>
  </si>
  <si>
    <t>SCH00180</t>
  </si>
  <si>
    <t>SCH00181</t>
  </si>
  <si>
    <t>SCH00182</t>
  </si>
  <si>
    <t>SCH00183</t>
  </si>
  <si>
    <t>SCH00184</t>
  </si>
  <si>
    <t>SCH00185</t>
  </si>
  <si>
    <t>SCH00186</t>
  </si>
  <si>
    <t>SCH00187</t>
  </si>
  <si>
    <t>SCH00188</t>
  </si>
  <si>
    <t>SCH00189</t>
  </si>
  <si>
    <t>SCH00190</t>
  </si>
  <si>
    <t>SCH00191</t>
  </si>
  <si>
    <t>SCH00192</t>
  </si>
  <si>
    <t>SCH00193</t>
  </si>
  <si>
    <t>SCH00194</t>
  </si>
  <si>
    <t>SCH00195</t>
  </si>
  <si>
    <t>SCH00196</t>
  </si>
  <si>
    <t>SCH00197</t>
  </si>
  <si>
    <t>SCH00198</t>
  </si>
  <si>
    <t>SCH00199</t>
  </si>
  <si>
    <t>SCH00200</t>
  </si>
  <si>
    <t>SCH00201</t>
  </si>
  <si>
    <t>SCH00202</t>
  </si>
  <si>
    <t>SCH00203</t>
  </si>
  <si>
    <t>SCH00204</t>
  </si>
  <si>
    <t>SCH00205</t>
  </si>
  <si>
    <t>SCH00206</t>
  </si>
  <si>
    <t>SCH00207</t>
  </si>
  <si>
    <t>SCH00208</t>
  </si>
  <si>
    <t>SCH00209</t>
  </si>
  <si>
    <t>SCH00210</t>
  </si>
  <si>
    <t>SCH00211</t>
  </si>
  <si>
    <t>SCH00212</t>
  </si>
  <si>
    <t>SCH00213</t>
  </si>
  <si>
    <t>SCH00214</t>
  </si>
  <si>
    <t>SCH00215</t>
  </si>
  <si>
    <t>SCH00216</t>
  </si>
  <si>
    <t>SCH00217</t>
  </si>
  <si>
    <t>SCH00218</t>
  </si>
  <si>
    <t>SCH00219</t>
  </si>
  <si>
    <t>SCH00220</t>
  </si>
  <si>
    <t>SCH00221</t>
  </si>
  <si>
    <t>SCH00222</t>
  </si>
  <si>
    <t>SCH00223</t>
  </si>
  <si>
    <t>SCH00224</t>
  </si>
  <si>
    <t>SCH00225</t>
  </si>
  <si>
    <t>SCH00226</t>
  </si>
  <si>
    <t>SCH00227</t>
  </si>
  <si>
    <t>SCH00228</t>
  </si>
  <si>
    <t>SCH00229</t>
  </si>
  <si>
    <t>SCH00230</t>
  </si>
  <si>
    <t>SCH00231</t>
  </si>
  <si>
    <t>SCH00232</t>
  </si>
  <si>
    <t>SCH00233</t>
  </si>
  <si>
    <t>SCH00234</t>
  </si>
  <si>
    <t>SCH00235</t>
  </si>
  <si>
    <t>SCH00236</t>
  </si>
  <si>
    <t>SCH00237</t>
  </si>
  <si>
    <t>SCH00238</t>
  </si>
  <si>
    <t>SCH00239</t>
  </si>
  <si>
    <t>SCH00240</t>
  </si>
  <si>
    <t>SCH00241</t>
  </si>
  <si>
    <t>SCH00242</t>
  </si>
  <si>
    <t>SCH00243</t>
  </si>
  <si>
    <t>SCH00244</t>
  </si>
  <si>
    <t>SCH00245</t>
  </si>
  <si>
    <t>SCH00246</t>
  </si>
  <si>
    <t>SCH00247</t>
  </si>
  <si>
    <t>SCH00248</t>
  </si>
  <si>
    <t>SCH00249</t>
  </si>
  <si>
    <t>SCH00250</t>
  </si>
  <si>
    <t>SCH00251</t>
  </si>
  <si>
    <t>SCH00252</t>
  </si>
  <si>
    <t>SCH00253</t>
  </si>
  <si>
    <t>SCH00254</t>
  </si>
  <si>
    <t>SCH00255</t>
  </si>
  <si>
    <t>SCH00256</t>
  </si>
  <si>
    <t>SCH00257</t>
  </si>
  <si>
    <t>SCH00258</t>
  </si>
  <si>
    <t>SCH00259</t>
  </si>
  <si>
    <t>SCH00260</t>
  </si>
  <si>
    <t>SCH00261</t>
  </si>
  <si>
    <t>SCH00262</t>
  </si>
  <si>
    <t>SCH00263</t>
  </si>
  <si>
    <t>SCH00264</t>
  </si>
  <si>
    <t>SCH00265</t>
  </si>
  <si>
    <t>SCH00266</t>
  </si>
  <si>
    <t>SCH00267</t>
  </si>
  <si>
    <t>SCH00268</t>
  </si>
  <si>
    <t>SCH00269</t>
  </si>
  <si>
    <t>SCH00270</t>
  </si>
  <si>
    <t>SCH00271</t>
  </si>
  <si>
    <t>SCH00272</t>
  </si>
  <si>
    <t>SCH00273</t>
  </si>
  <si>
    <t>SCH00274</t>
  </si>
  <si>
    <t>SCH00275</t>
  </si>
  <si>
    <t>SCH00276</t>
  </si>
  <si>
    <t>SCH00277</t>
  </si>
  <si>
    <t>SCH00278</t>
  </si>
  <si>
    <t>SCH00279</t>
  </si>
  <si>
    <t>SCH00280</t>
  </si>
  <si>
    <t>SCH00281</t>
  </si>
  <si>
    <t>SCH00282</t>
  </si>
  <si>
    <t>SCH00283</t>
  </si>
  <si>
    <t>SCH00284</t>
  </si>
  <si>
    <t>SCH00285</t>
  </si>
  <si>
    <t>SCH00286</t>
  </si>
  <si>
    <t>SCH00287</t>
  </si>
  <si>
    <t>SCH00288</t>
  </si>
  <si>
    <t>SCH00289</t>
  </si>
  <si>
    <t>SCH00290</t>
  </si>
  <si>
    <t>SCH00291</t>
  </si>
  <si>
    <t>SCH00292</t>
  </si>
  <si>
    <t>SCH00293</t>
  </si>
  <si>
    <t>SCH00294</t>
  </si>
  <si>
    <t>SCH00295</t>
  </si>
  <si>
    <t>SCH00296</t>
  </si>
  <si>
    <t>SCH00297</t>
  </si>
  <si>
    <t>SCH00298</t>
  </si>
  <si>
    <t>SCH00299</t>
  </si>
  <si>
    <t>SCH00300</t>
  </si>
  <si>
    <t>SCH00301</t>
  </si>
  <si>
    <t>SCH00302</t>
  </si>
  <si>
    <t>SCH00303</t>
  </si>
  <si>
    <t>SCH00304</t>
  </si>
  <si>
    <t>SCH00305</t>
  </si>
  <si>
    <t>SCH00306</t>
  </si>
  <si>
    <t>SCH00307</t>
  </si>
  <si>
    <t>SCH00308</t>
  </si>
  <si>
    <t>SCH00309</t>
  </si>
  <si>
    <t>SCH00310</t>
  </si>
  <si>
    <t>SCH00311</t>
  </si>
  <si>
    <t>SCH00312</t>
  </si>
  <si>
    <t>SCH00313</t>
  </si>
  <si>
    <t>SCH00314</t>
  </si>
  <si>
    <t>SCH00315</t>
  </si>
  <si>
    <t>SCH00316</t>
  </si>
  <si>
    <t>SCH00317</t>
  </si>
  <si>
    <t>SCH00318</t>
  </si>
  <si>
    <t>SCH00319</t>
  </si>
  <si>
    <t>SCH00320</t>
  </si>
  <si>
    <t>SCH00321</t>
  </si>
  <si>
    <t>SCH00322</t>
  </si>
  <si>
    <t>SCH00323</t>
  </si>
  <si>
    <t>SCH00324</t>
  </si>
  <si>
    <t>SCH00325</t>
  </si>
  <si>
    <t>SCH00326</t>
  </si>
  <si>
    <t>SCH00327</t>
  </si>
  <si>
    <t>SCH00328</t>
  </si>
  <si>
    <t>SCH00329</t>
  </si>
  <si>
    <t>SCH00330</t>
  </si>
  <si>
    <t>SCH00331</t>
  </si>
  <si>
    <t>SCH00332</t>
  </si>
  <si>
    <t>SCH00333</t>
  </si>
  <si>
    <t>SCH00334</t>
  </si>
  <si>
    <t>SCH00335</t>
  </si>
  <si>
    <t>SCH00336</t>
  </si>
  <si>
    <t>SCH00337</t>
  </si>
  <si>
    <t>SCH00338</t>
  </si>
  <si>
    <t>SCH00339</t>
  </si>
  <si>
    <t>SCH00340</t>
  </si>
  <si>
    <t>SCH00341</t>
  </si>
  <si>
    <t>SCH00342</t>
  </si>
  <si>
    <t>SCH00343</t>
  </si>
  <si>
    <t>SCH00344</t>
  </si>
  <si>
    <t>SCH00345</t>
  </si>
  <si>
    <t>SCH00346</t>
  </si>
  <si>
    <t>SCH00347</t>
  </si>
  <si>
    <t>SCH00348</t>
  </si>
  <si>
    <t>SCH00349</t>
  </si>
  <si>
    <t>SCH00350</t>
  </si>
  <si>
    <t>SCH00351</t>
  </si>
  <si>
    <t>SCH00352</t>
  </si>
  <si>
    <t>SCH00353</t>
  </si>
  <si>
    <t>SCH00354</t>
  </si>
  <si>
    <t>SCH00355</t>
  </si>
  <si>
    <t>SCH00356</t>
  </si>
  <si>
    <t>SCH00357</t>
  </si>
  <si>
    <t>SCH00358</t>
  </si>
  <si>
    <t>SCH00359</t>
  </si>
  <si>
    <t>SCH00360</t>
  </si>
  <si>
    <t>SCH00361</t>
  </si>
  <si>
    <t>SCH00362</t>
  </si>
  <si>
    <t>SCH00363</t>
  </si>
  <si>
    <t>SCH00364</t>
  </si>
  <si>
    <t>SCH00365</t>
  </si>
  <si>
    <t>SCH00366</t>
  </si>
  <si>
    <t>SCH00367</t>
  </si>
  <si>
    <t>SCH00368</t>
  </si>
  <si>
    <t>SCH00369</t>
  </si>
  <si>
    <t>SCH00370</t>
  </si>
  <si>
    <t>SCH00371</t>
  </si>
  <si>
    <t>SCH00372</t>
  </si>
  <si>
    <t>SCH00373</t>
  </si>
  <si>
    <t>SCH00374</t>
  </si>
  <si>
    <t>SCH00375</t>
  </si>
  <si>
    <t>SCH00376</t>
  </si>
  <si>
    <t>SCH00377</t>
  </si>
  <si>
    <t>SCH00378</t>
  </si>
  <si>
    <t>SCH00379</t>
  </si>
  <si>
    <t>SCH00380</t>
  </si>
  <si>
    <t>SCH00381</t>
  </si>
  <si>
    <t>SCH00382</t>
  </si>
  <si>
    <t>SCH00383</t>
  </si>
  <si>
    <t>SCH00384</t>
  </si>
  <si>
    <t>SCH00385</t>
  </si>
  <si>
    <t>SCH00386</t>
  </si>
  <si>
    <t>SCH00387</t>
  </si>
  <si>
    <t>SCH00388</t>
  </si>
  <si>
    <t>SCH00389</t>
  </si>
  <si>
    <t>SCH00390</t>
  </si>
  <si>
    <t>SCH00391</t>
  </si>
  <si>
    <t>SCH00392</t>
  </si>
  <si>
    <t>SCH00393</t>
  </si>
  <si>
    <t>SCH00394</t>
  </si>
  <si>
    <t>SCH00395</t>
  </si>
  <si>
    <t>SCH00396</t>
  </si>
  <si>
    <t>SCH00397</t>
  </si>
  <si>
    <t>SCH00398</t>
  </si>
  <si>
    <t>SCH00399</t>
  </si>
  <si>
    <t>SCH00400</t>
  </si>
  <si>
    <t>SCH00401</t>
  </si>
  <si>
    <t>SCH00402</t>
  </si>
  <si>
    <t>SCH00403</t>
  </si>
  <si>
    <t>SCH00404</t>
  </si>
  <si>
    <t>SCH00405</t>
  </si>
  <si>
    <t>SCH00406</t>
  </si>
  <si>
    <t>SCH00407</t>
  </si>
  <si>
    <t>SCH00408</t>
  </si>
  <si>
    <t>SCH00409</t>
  </si>
  <si>
    <t>SCH00410</t>
  </si>
  <si>
    <t>SCH00411</t>
  </si>
  <si>
    <t>SCH00412</t>
  </si>
  <si>
    <t>SCH00413</t>
  </si>
  <si>
    <t>SCH00414</t>
  </si>
  <si>
    <t>SCH00415</t>
  </si>
  <si>
    <t>SCH00416</t>
  </si>
  <si>
    <t>SCH00417</t>
  </si>
  <si>
    <t>SCH00418</t>
  </si>
  <si>
    <t>SCH00419</t>
  </si>
  <si>
    <t>SCH00420</t>
  </si>
  <si>
    <t>SCH00421</t>
  </si>
  <si>
    <t>SCH00422</t>
  </si>
  <si>
    <t>SCH00423</t>
  </si>
  <si>
    <t>SCH00424</t>
  </si>
  <si>
    <t>SCH00425</t>
  </si>
  <si>
    <t>SCH00426</t>
  </si>
  <si>
    <t>SCH00427</t>
  </si>
  <si>
    <t>SCH00428</t>
  </si>
  <si>
    <t>SCH00429</t>
  </si>
  <si>
    <t>SCH00430</t>
  </si>
  <si>
    <t>SCH00431</t>
  </si>
  <si>
    <t>SCH00432</t>
  </si>
  <si>
    <t>SCH00433</t>
  </si>
  <si>
    <t>SCH00434</t>
  </si>
  <si>
    <t>SCH00435</t>
  </si>
  <si>
    <t>SCH00436</t>
  </si>
  <si>
    <t>SCH00437</t>
  </si>
  <si>
    <t>SCH00438</t>
  </si>
  <si>
    <t>SCH00439</t>
  </si>
  <si>
    <t>SCH00440</t>
  </si>
  <si>
    <t>SCH00441</t>
  </si>
  <si>
    <t>SCH00442</t>
  </si>
  <si>
    <t>SCH00443</t>
  </si>
  <si>
    <t>SCH00444</t>
  </si>
  <si>
    <t>SCH00445</t>
  </si>
  <si>
    <t>SCH00446</t>
  </si>
  <si>
    <t>SCH00447</t>
  </si>
  <si>
    <t>SCH00448</t>
  </si>
  <si>
    <t>SCH00449</t>
  </si>
  <si>
    <t>SCH00450</t>
  </si>
  <si>
    <t>SCH00451</t>
  </si>
  <si>
    <t>SCH00452</t>
  </si>
  <si>
    <t>SCH00453</t>
  </si>
  <si>
    <t>SCH00454</t>
  </si>
  <si>
    <t>SCH00455</t>
  </si>
  <si>
    <t>SCH00456</t>
  </si>
  <si>
    <t>SCH00457</t>
  </si>
  <si>
    <t>SCH00458</t>
  </si>
  <si>
    <t>SCH00459</t>
  </si>
  <si>
    <t>SCH00460</t>
  </si>
  <si>
    <t>SCH00461</t>
  </si>
  <si>
    <t>SCH00462</t>
  </si>
  <si>
    <t>SCH00463</t>
  </si>
  <si>
    <t>SCH00464</t>
  </si>
  <si>
    <t>SCH00465</t>
  </si>
  <si>
    <t>SCH00466</t>
  </si>
  <si>
    <t>SCH00467</t>
  </si>
  <si>
    <t>SCH00468</t>
  </si>
  <si>
    <t>SCH00469</t>
  </si>
  <si>
    <t>SCH00470</t>
  </si>
  <si>
    <t>SCH00471</t>
  </si>
  <si>
    <t>SCH00472</t>
  </si>
  <si>
    <t>SCH00473</t>
  </si>
  <si>
    <t>SCH00474</t>
  </si>
  <si>
    <t>SCH00475</t>
  </si>
  <si>
    <t>SCH00476</t>
  </si>
  <si>
    <t>SCH00477</t>
  </si>
  <si>
    <t>SCH00478</t>
  </si>
  <si>
    <t>SCH00479</t>
  </si>
  <si>
    <t>SCH00480</t>
  </si>
  <si>
    <t>SCH00481</t>
  </si>
  <si>
    <t>SCH00482</t>
  </si>
  <si>
    <t>SCH00483</t>
  </si>
  <si>
    <t>SCH00484</t>
  </si>
  <si>
    <t>SCH00485</t>
  </si>
  <si>
    <t>SCH00486</t>
  </si>
  <si>
    <t>SCH00487</t>
  </si>
  <si>
    <t>SCH00488</t>
  </si>
  <si>
    <t>SCH00489</t>
  </si>
  <si>
    <t>SCH00490</t>
  </si>
  <si>
    <t>SCH00491</t>
  </si>
  <si>
    <t>SCH00492</t>
  </si>
  <si>
    <t>SCH00493</t>
  </si>
  <si>
    <t>SCH00494</t>
  </si>
  <si>
    <t>SCH00495</t>
  </si>
  <si>
    <t>SCH00496</t>
  </si>
  <si>
    <t>SCH00497</t>
  </si>
  <si>
    <t>SCH00498</t>
  </si>
  <si>
    <t>SCH00499</t>
  </si>
  <si>
    <t>SCH00500</t>
  </si>
  <si>
    <t>SCH00501</t>
  </si>
  <si>
    <t>SCH00502</t>
  </si>
  <si>
    <t>SCH00503</t>
  </si>
  <si>
    <t>SCH00504</t>
  </si>
  <si>
    <t>SCH00505</t>
  </si>
  <si>
    <t>SCH00506</t>
  </si>
  <si>
    <t>SCH00507</t>
  </si>
  <si>
    <t>SCH00508</t>
  </si>
  <si>
    <t>SCH00509</t>
  </si>
  <si>
    <t>SCH00510</t>
  </si>
  <si>
    <t>SCH00511</t>
  </si>
  <si>
    <t>SCH00512</t>
  </si>
  <si>
    <t>SCH00513</t>
  </si>
  <si>
    <t>SCH00514</t>
  </si>
  <si>
    <t>SCH00515</t>
  </si>
  <si>
    <t>SCH00516</t>
  </si>
  <si>
    <t>SCH00517</t>
  </si>
  <si>
    <t>SCH00518</t>
  </si>
  <si>
    <t>SCH00519</t>
  </si>
  <si>
    <t>SCH00520</t>
  </si>
  <si>
    <t>SCH00521</t>
  </si>
  <si>
    <t>SCH00522</t>
  </si>
  <si>
    <t>SCH00523</t>
  </si>
  <si>
    <t>SCH00524</t>
  </si>
  <si>
    <t>SCH00525</t>
  </si>
  <si>
    <t>SCH00526</t>
  </si>
  <si>
    <t>SCH00527</t>
  </si>
  <si>
    <t>SCH00528</t>
  </si>
  <si>
    <t>SCH00529</t>
  </si>
  <si>
    <t>SCH00530</t>
  </si>
  <si>
    <t>SCH00531</t>
  </si>
  <si>
    <t>SCH00532</t>
  </si>
  <si>
    <t>SCH00533</t>
  </si>
  <si>
    <t>SCH00534</t>
  </si>
  <si>
    <t>SCH00535</t>
  </si>
  <si>
    <t>SCH00536</t>
  </si>
  <si>
    <t>SCH00537</t>
  </si>
  <si>
    <t>SCH00538</t>
  </si>
  <si>
    <t>SCH00539</t>
  </si>
  <si>
    <t>SCH00540</t>
  </si>
  <si>
    <t>SCH00541</t>
  </si>
  <si>
    <t>SCH00542</t>
  </si>
  <si>
    <t>SCH00543</t>
  </si>
  <si>
    <t>SCH00544</t>
  </si>
  <si>
    <t>SCH00545</t>
  </si>
  <si>
    <t>SCH00546</t>
  </si>
  <si>
    <t>SCH00547</t>
  </si>
  <si>
    <t>SCH00548</t>
  </si>
  <si>
    <t>SCH00549</t>
  </si>
  <si>
    <t>SCH00550</t>
  </si>
  <si>
    <t>SCH00551</t>
  </si>
  <si>
    <t>SCH00552</t>
  </si>
  <si>
    <t>SCH00553</t>
  </si>
  <si>
    <t>SCH00554</t>
  </si>
  <si>
    <t>SCH00555</t>
  </si>
  <si>
    <t>SCH00556</t>
  </si>
  <si>
    <t>SCH00557</t>
  </si>
  <si>
    <t>SCH00558</t>
  </si>
  <si>
    <t>SCH00559</t>
  </si>
  <si>
    <t>SCH00560</t>
  </si>
  <si>
    <t>SCH00561</t>
  </si>
  <si>
    <t>SCH00562</t>
  </si>
  <si>
    <t>SCH00563</t>
  </si>
  <si>
    <t>SCH00564</t>
  </si>
  <si>
    <t>SCH00565</t>
  </si>
  <si>
    <t>SCH00566</t>
  </si>
  <si>
    <t>SCH00567</t>
  </si>
  <si>
    <t>SCH00568</t>
  </si>
  <si>
    <t>SCH00569</t>
  </si>
  <si>
    <t>SCH00570</t>
  </si>
  <si>
    <t>SCH00571</t>
  </si>
  <si>
    <t>SCH00572</t>
  </si>
  <si>
    <t>SCH00573</t>
  </si>
  <si>
    <t>SCH00574</t>
  </si>
  <si>
    <t>SCH00575</t>
  </si>
  <si>
    <t>SCH00576</t>
  </si>
  <si>
    <t>SCH00577</t>
  </si>
  <si>
    <t>SCH00578</t>
  </si>
  <si>
    <t>SCH00579</t>
  </si>
  <si>
    <t>SCH00580</t>
  </si>
  <si>
    <t>SCH00581</t>
  </si>
  <si>
    <t>SCH00582</t>
  </si>
  <si>
    <t>SCH00583</t>
  </si>
  <si>
    <t>SCH00584</t>
  </si>
  <si>
    <t>SCH00585</t>
  </si>
  <si>
    <t>SCH00586</t>
  </si>
  <si>
    <t>SCH00587</t>
  </si>
  <si>
    <t>SCH00588</t>
  </si>
  <si>
    <t>SCH00589</t>
  </si>
  <si>
    <t>SCH00590</t>
  </si>
  <si>
    <t>SCH00591</t>
  </si>
  <si>
    <t>SCH00592</t>
  </si>
  <si>
    <t>SCH00593</t>
  </si>
  <si>
    <t>SCH00594</t>
  </si>
  <si>
    <t>SCH00595</t>
  </si>
  <si>
    <t>SCH00596</t>
  </si>
  <si>
    <t>SCH00597</t>
  </si>
  <si>
    <t>SCH00598</t>
  </si>
  <si>
    <t>SCH00599</t>
  </si>
  <si>
    <t>SCH00600</t>
  </si>
  <si>
    <t>SCH00601</t>
  </si>
  <si>
    <t>Current</t>
  </si>
  <si>
    <t>SCH00602</t>
  </si>
  <si>
    <t>SCH00603</t>
  </si>
  <si>
    <t>SCH00604</t>
  </si>
  <si>
    <t>SCH00605</t>
  </si>
  <si>
    <t>SCH00606</t>
  </si>
  <si>
    <t>SCH00607</t>
  </si>
  <si>
    <t>SCH00608</t>
  </si>
  <si>
    <t>SCH00609</t>
  </si>
  <si>
    <t>SCH00610</t>
  </si>
  <si>
    <t>SCH00611</t>
  </si>
  <si>
    <t>SCH00612</t>
  </si>
  <si>
    <t>SCH00613</t>
  </si>
  <si>
    <t>SCH00614</t>
  </si>
  <si>
    <t>SCH00615</t>
  </si>
  <si>
    <t>SCH00616</t>
  </si>
  <si>
    <t>SCH00617</t>
  </si>
  <si>
    <t>SCH00618</t>
  </si>
  <si>
    <t>SCH00619</t>
  </si>
  <si>
    <t>SCH00620</t>
  </si>
  <si>
    <t>SCH00621</t>
  </si>
  <si>
    <t>Future</t>
  </si>
  <si>
    <t>Scheduled</t>
  </si>
  <si>
    <t>SCH00622</t>
  </si>
  <si>
    <t>SCH00623</t>
  </si>
  <si>
    <t>SCH00624</t>
  </si>
  <si>
    <t>SCH00625</t>
  </si>
  <si>
    <t>SCH00626</t>
  </si>
  <si>
    <t>SCH00627</t>
  </si>
  <si>
    <t>SCH00628</t>
  </si>
  <si>
    <t>SCH00629</t>
  </si>
  <si>
    <t>SCH00630</t>
  </si>
  <si>
    <t>SCH00631</t>
  </si>
  <si>
    <t>SCH00632</t>
  </si>
  <si>
    <t>SCH00633</t>
  </si>
  <si>
    <t>SCH00634</t>
  </si>
  <si>
    <t>SCH00635</t>
  </si>
  <si>
    <t>SCH00636</t>
  </si>
  <si>
    <t>SCH00637</t>
  </si>
  <si>
    <t>SCH00638</t>
  </si>
  <si>
    <t>SCH00639</t>
  </si>
  <si>
    <t>SCH00640</t>
  </si>
  <si>
    <t>SCH00641</t>
  </si>
  <si>
    <t>SCH00642</t>
  </si>
  <si>
    <t>SCH00643</t>
  </si>
  <si>
    <t>SCH00644</t>
  </si>
  <si>
    <t>SCH00645</t>
  </si>
  <si>
    <t>SCH00646</t>
  </si>
  <si>
    <t>SCH00647</t>
  </si>
  <si>
    <t>SCH00648</t>
  </si>
  <si>
    <t>SCH00649</t>
  </si>
  <si>
    <t>SCH00650</t>
  </si>
  <si>
    <t>SCH00651</t>
  </si>
  <si>
    <t>SCH00652</t>
  </si>
  <si>
    <t>SCH00653</t>
  </si>
  <si>
    <t>SCH00654</t>
  </si>
  <si>
    <t>SCH00655</t>
  </si>
  <si>
    <t>SCH00656</t>
  </si>
  <si>
    <t>SCH00657</t>
  </si>
  <si>
    <t>SCH00658</t>
  </si>
  <si>
    <t>SCH00659</t>
  </si>
  <si>
    <t>SCH00660</t>
  </si>
  <si>
    <t>SCH00661</t>
  </si>
  <si>
    <t>SCH00662</t>
  </si>
  <si>
    <t>SCH00663</t>
  </si>
  <si>
    <t>SCH00664</t>
  </si>
  <si>
    <t>SCH00665</t>
  </si>
  <si>
    <t>SCH00666</t>
  </si>
  <si>
    <t>SCH00667</t>
  </si>
  <si>
    <t>SCH00668</t>
  </si>
  <si>
    <t>SCH00669</t>
  </si>
  <si>
    <t>SCH00670</t>
  </si>
  <si>
    <t>SCH00671</t>
  </si>
  <si>
    <t>SCH00672</t>
  </si>
  <si>
    <t>SCH00673</t>
  </si>
  <si>
    <t>SCH00674</t>
  </si>
  <si>
    <t>SCH00675</t>
  </si>
  <si>
    <t>SCH00676</t>
  </si>
  <si>
    <t>SCH00677</t>
  </si>
  <si>
    <t>SCH00678</t>
  </si>
  <si>
    <t>SCH00679</t>
  </si>
  <si>
    <t>SCH00680</t>
  </si>
  <si>
    <t>SCH00681</t>
  </si>
  <si>
    <t>SCH00682</t>
  </si>
  <si>
    <t>SCH00683</t>
  </si>
  <si>
    <t>SCH00684</t>
  </si>
  <si>
    <t>SCH00685</t>
  </si>
  <si>
    <t>SCH00686</t>
  </si>
  <si>
    <t>SCH00687</t>
  </si>
  <si>
    <t>SCH00688</t>
  </si>
  <si>
    <t>SCH00689</t>
  </si>
  <si>
    <t>SCH00690</t>
  </si>
  <si>
    <t>SCH00691</t>
  </si>
  <si>
    <t>SCH00692</t>
  </si>
  <si>
    <t>SCH00693</t>
  </si>
  <si>
    <t>SCH00694</t>
  </si>
  <si>
    <t>SCH00695</t>
  </si>
  <si>
    <t>SCH00696</t>
  </si>
  <si>
    <t>SCH00697</t>
  </si>
  <si>
    <t>SCH00698</t>
  </si>
  <si>
    <t>SCH00699</t>
  </si>
  <si>
    <t>SCH00700</t>
  </si>
  <si>
    <t>SCH00701</t>
  </si>
  <si>
    <t>SCH00702</t>
  </si>
  <si>
    <t>SCH00703</t>
  </si>
  <si>
    <t>SCH00704</t>
  </si>
  <si>
    <t>SCH00705</t>
  </si>
  <si>
    <t>SCH00706</t>
  </si>
  <si>
    <t>SCH00707</t>
  </si>
  <si>
    <t>SCH00708</t>
  </si>
  <si>
    <t>SCH00709</t>
  </si>
  <si>
    <t>SCH00710</t>
  </si>
  <si>
    <t>SCH00711</t>
  </si>
  <si>
    <t>SCH00712</t>
  </si>
  <si>
    <t>SCH00713</t>
  </si>
  <si>
    <t>SCH00714</t>
  </si>
  <si>
    <t>SCH00715</t>
  </si>
  <si>
    <t>SCH00716</t>
  </si>
  <si>
    <t>SCH00717</t>
  </si>
  <si>
    <t>SCH00718</t>
  </si>
  <si>
    <t>SCH00719</t>
  </si>
  <si>
    <t>SCH00720</t>
  </si>
  <si>
    <t>SCH00721</t>
  </si>
  <si>
    <t>SCH00722</t>
  </si>
  <si>
    <t>SCH00723</t>
  </si>
  <si>
    <t>SCH00724</t>
  </si>
  <si>
    <t>SCH00725</t>
  </si>
  <si>
    <t>SCH00726</t>
  </si>
  <si>
    <t>SCH00727</t>
  </si>
  <si>
    <t>SCH00728</t>
  </si>
  <si>
    <t>SCH00729</t>
  </si>
  <si>
    <t>SCH00730</t>
  </si>
  <si>
    <t>SCH00731</t>
  </si>
  <si>
    <t>SCH00732</t>
  </si>
  <si>
    <t>SCH00733</t>
  </si>
  <si>
    <t>SCH00734</t>
  </si>
  <si>
    <t>SCH00735</t>
  </si>
  <si>
    <t>SCH00736</t>
  </si>
  <si>
    <t>SCH00737</t>
  </si>
  <si>
    <t>SCH00738</t>
  </si>
  <si>
    <t>SCH00739</t>
  </si>
  <si>
    <t>SCH00740</t>
  </si>
  <si>
    <t>SCH00741</t>
  </si>
  <si>
    <t>SCH00742</t>
  </si>
  <si>
    <t>SCH00743</t>
  </si>
  <si>
    <t>SCH00744</t>
  </si>
  <si>
    <t>SCH00745</t>
  </si>
  <si>
    <t>SCH00746</t>
  </si>
  <si>
    <t>SCH00747</t>
  </si>
  <si>
    <t>SCH00748</t>
  </si>
  <si>
    <t>SCH00749</t>
  </si>
  <si>
    <t>SCH00750</t>
  </si>
  <si>
    <t>SCH00751</t>
  </si>
  <si>
    <t>SCH00752</t>
  </si>
  <si>
    <t>SCH00753</t>
  </si>
  <si>
    <t>SCH00754</t>
  </si>
  <si>
    <t>SCH00755</t>
  </si>
  <si>
    <t>SCH00756</t>
  </si>
  <si>
    <t>SCH00757</t>
  </si>
  <si>
    <t>SCH00758</t>
  </si>
  <si>
    <t>SCH00759</t>
  </si>
  <si>
    <t>SCH00760</t>
  </si>
  <si>
    <t>SCH00761</t>
  </si>
  <si>
    <t>SCH00762</t>
  </si>
  <si>
    <t>SCH00763</t>
  </si>
  <si>
    <t>SCH00764</t>
  </si>
  <si>
    <t>SCH00765</t>
  </si>
  <si>
    <t>SCH00766</t>
  </si>
  <si>
    <t>SCH00767</t>
  </si>
  <si>
    <t>SCH00768</t>
  </si>
  <si>
    <t>SCH00769</t>
  </si>
  <si>
    <t>SCH00770</t>
  </si>
  <si>
    <t>SCH00771</t>
  </si>
  <si>
    <t>SCH00772</t>
  </si>
  <si>
    <t>SCH00773</t>
  </si>
  <si>
    <t>SCH00774</t>
  </si>
  <si>
    <t>SCH00775</t>
  </si>
  <si>
    <t>SCH00776</t>
  </si>
  <si>
    <t>SCH00777</t>
  </si>
  <si>
    <t>SCH00778</t>
  </si>
  <si>
    <t>SCH00779</t>
  </si>
  <si>
    <t>SCH00780</t>
  </si>
  <si>
    <t>SCH00781</t>
  </si>
  <si>
    <t>SCH00782</t>
  </si>
  <si>
    <t>SCH00783</t>
  </si>
  <si>
    <t>SCH00784</t>
  </si>
  <si>
    <t>SCH00785</t>
  </si>
  <si>
    <t>SCH00786</t>
  </si>
  <si>
    <t>SCH00787</t>
  </si>
  <si>
    <t>SCH00788</t>
  </si>
  <si>
    <t>SCH00789</t>
  </si>
  <si>
    <t>SCH00790</t>
  </si>
  <si>
    <t>SCH00791</t>
  </si>
  <si>
    <t>SCH00792</t>
  </si>
  <si>
    <t>SCH00793</t>
  </si>
  <si>
    <t>SCH00794</t>
  </si>
  <si>
    <t>SCH00795</t>
  </si>
  <si>
    <t>SCH00796</t>
  </si>
  <si>
    <t>SCH00797</t>
  </si>
  <si>
    <t>SCH00798</t>
  </si>
  <si>
    <t>SCH00799</t>
  </si>
  <si>
    <t>SCH00800</t>
  </si>
  <si>
    <t>SCH00801</t>
  </si>
  <si>
    <t>SCH00802</t>
  </si>
  <si>
    <t>SCH00803</t>
  </si>
  <si>
    <t>SCH00804</t>
  </si>
  <si>
    <t>SCH00805</t>
  </si>
  <si>
    <t>SCH00806</t>
  </si>
  <si>
    <t>SCH00807</t>
  </si>
  <si>
    <t>SCH00808</t>
  </si>
  <si>
    <t>SCH00809</t>
  </si>
  <si>
    <t>SCH00810</t>
  </si>
  <si>
    <t>SCH00811</t>
  </si>
  <si>
    <t>SCH00812</t>
  </si>
  <si>
    <t>SCH00813</t>
  </si>
  <si>
    <t>SCH00814</t>
  </si>
  <si>
    <t>SCH00815</t>
  </si>
  <si>
    <t>SCH00816</t>
  </si>
  <si>
    <t>SCH00817</t>
  </si>
  <si>
    <t>SCH00818</t>
  </si>
  <si>
    <t>SCH00819</t>
  </si>
  <si>
    <t>SCH00820</t>
  </si>
  <si>
    <t>SCH00821</t>
  </si>
  <si>
    <t>SCH00822</t>
  </si>
  <si>
    <t>SCH00823</t>
  </si>
  <si>
    <t>SCH00824</t>
  </si>
  <si>
    <t>SCH00825</t>
  </si>
  <si>
    <t>SCH00826</t>
  </si>
  <si>
    <t>SCH00827</t>
  </si>
  <si>
    <t>SCH00828</t>
  </si>
  <si>
    <t>SCH00829</t>
  </si>
  <si>
    <t>SCH00830</t>
  </si>
  <si>
    <t>SCH00831</t>
  </si>
  <si>
    <t>SCH00832</t>
  </si>
  <si>
    <t>SCH00833</t>
  </si>
  <si>
    <t>SCH00834</t>
  </si>
  <si>
    <t>SCH00835</t>
  </si>
  <si>
    <t>SCH00836</t>
  </si>
  <si>
    <t>SCH00837</t>
  </si>
  <si>
    <t>SCH00838</t>
  </si>
  <si>
    <t>SCH00839</t>
  </si>
  <si>
    <t>SCH00840</t>
  </si>
  <si>
    <t>SCH00841</t>
  </si>
  <si>
    <t>SCH00842</t>
  </si>
  <si>
    <t>SCH00843</t>
  </si>
  <si>
    <t>SCH00844</t>
  </si>
  <si>
    <t>SCH00845</t>
  </si>
  <si>
    <t>SCH00846</t>
  </si>
  <si>
    <t>SCH00847</t>
  </si>
  <si>
    <t>SCH00848</t>
  </si>
  <si>
    <t>SCH00849</t>
  </si>
  <si>
    <t>SCH00850</t>
  </si>
  <si>
    <t>SCH00851</t>
  </si>
  <si>
    <t>SCH00852</t>
  </si>
  <si>
    <t>SCH00853</t>
  </si>
  <si>
    <t>SCH00854</t>
  </si>
  <si>
    <t>SCH00855</t>
  </si>
  <si>
    <t>SCH00856</t>
  </si>
  <si>
    <t>SCH00857</t>
  </si>
  <si>
    <t>SCH00858</t>
  </si>
  <si>
    <t>SCH00859</t>
  </si>
  <si>
    <t>SCH00860</t>
  </si>
  <si>
    <t>SCH00861</t>
  </si>
  <si>
    <t>SCH00862</t>
  </si>
  <si>
    <t>SCH00863</t>
  </si>
  <si>
    <t>SCH00864</t>
  </si>
  <si>
    <t>SCH00865</t>
  </si>
  <si>
    <t>SCH00866</t>
  </si>
  <si>
    <t>SCH00867</t>
  </si>
  <si>
    <t>SCH00868</t>
  </si>
  <si>
    <t>SCH00869</t>
  </si>
  <si>
    <t>SCH00870</t>
  </si>
  <si>
    <t>SCH00871</t>
  </si>
  <si>
    <t>SCH00872</t>
  </si>
  <si>
    <t>SCH00873</t>
  </si>
  <si>
    <t>SCH00874</t>
  </si>
  <si>
    <t>SCH00875</t>
  </si>
  <si>
    <t>SCH00876</t>
  </si>
  <si>
    <t>SCH00877</t>
  </si>
  <si>
    <t>SCH00878</t>
  </si>
  <si>
    <t>SCH00879</t>
  </si>
  <si>
    <t>SCH00880</t>
  </si>
  <si>
    <t>SCH00881</t>
  </si>
  <si>
    <t>SCH00882</t>
  </si>
  <si>
    <t>SCH00883</t>
  </si>
  <si>
    <t>SCH00884</t>
  </si>
  <si>
    <t>SCH00885</t>
  </si>
  <si>
    <t>SCH00886</t>
  </si>
  <si>
    <t>SCH00887</t>
  </si>
  <si>
    <t>SCH00888</t>
  </si>
  <si>
    <t>SCH00889</t>
  </si>
  <si>
    <t>SCH00890</t>
  </si>
  <si>
    <t>SCH00891</t>
  </si>
  <si>
    <t>SCH00892</t>
  </si>
  <si>
    <t>SCH00893</t>
  </si>
  <si>
    <t>SCH00894</t>
  </si>
  <si>
    <t>SCH00895</t>
  </si>
  <si>
    <t>SCH00896</t>
  </si>
  <si>
    <t>SCH00897</t>
  </si>
  <si>
    <t>SCH00898</t>
  </si>
  <si>
    <t>SCH00899</t>
  </si>
  <si>
    <t>SCH00900</t>
  </si>
  <si>
    <t>SCH00901</t>
  </si>
  <si>
    <t>SCH00902</t>
  </si>
  <si>
    <t>SCH00903</t>
  </si>
  <si>
    <t>SCH00904</t>
  </si>
  <si>
    <t>SCH00905</t>
  </si>
  <si>
    <t>SCH00906</t>
  </si>
  <si>
    <t>SCH00907</t>
  </si>
  <si>
    <t>SCH00908</t>
  </si>
  <si>
    <t>SCH00909</t>
  </si>
  <si>
    <t>SCH00910</t>
  </si>
  <si>
    <t>SCH00911</t>
  </si>
  <si>
    <t>SCH00912</t>
  </si>
  <si>
    <t>SCH00913</t>
  </si>
  <si>
    <t>SCH00914</t>
  </si>
  <si>
    <t>SCH00915</t>
  </si>
  <si>
    <t>SCH00916</t>
  </si>
  <si>
    <t>SCH00917</t>
  </si>
  <si>
    <t>SCH00918</t>
  </si>
  <si>
    <t>SCH00919</t>
  </si>
  <si>
    <t>SCH00920</t>
  </si>
  <si>
    <t>SCH00921</t>
  </si>
  <si>
    <t>SCH00922</t>
  </si>
  <si>
    <t>SCH00923</t>
  </si>
  <si>
    <t>SCH00924</t>
  </si>
  <si>
    <t>SCH00925</t>
  </si>
  <si>
    <t>SCH00926</t>
  </si>
  <si>
    <t>SCH00927</t>
  </si>
  <si>
    <t>SCH00928</t>
  </si>
  <si>
    <t>SCH00929</t>
  </si>
  <si>
    <t>SCH00930</t>
  </si>
  <si>
    <t>SCH00931</t>
  </si>
  <si>
    <t>SCH00932</t>
  </si>
  <si>
    <t>SCH00933</t>
  </si>
  <si>
    <t>SCH00934</t>
  </si>
  <si>
    <t>SCH00935</t>
  </si>
  <si>
    <t>SCH00936</t>
  </si>
  <si>
    <t>SCH00937</t>
  </si>
  <si>
    <t>SCH00938</t>
  </si>
  <si>
    <t>SCH00939</t>
  </si>
  <si>
    <t>SCH00940</t>
  </si>
  <si>
    <t>SCH00941</t>
  </si>
  <si>
    <t>SCH00942</t>
  </si>
  <si>
    <t>SCH00943</t>
  </si>
  <si>
    <t>SCH00944</t>
  </si>
  <si>
    <t>SCH00945</t>
  </si>
  <si>
    <t>SCH00946</t>
  </si>
  <si>
    <t>SCH00947</t>
  </si>
  <si>
    <t>SCH00948</t>
  </si>
  <si>
    <t>SCH00949</t>
  </si>
  <si>
    <t>SCH00950</t>
  </si>
  <si>
    <t>SCH00951</t>
  </si>
  <si>
    <t>SCH00952</t>
  </si>
  <si>
    <t>SCH00953</t>
  </si>
  <si>
    <t>SCH00954</t>
  </si>
  <si>
    <t>SCH00955</t>
  </si>
  <si>
    <t>SCH00956</t>
  </si>
  <si>
    <t>SCH00957</t>
  </si>
  <si>
    <t>SCH00958</t>
  </si>
  <si>
    <t>SCH00959</t>
  </si>
  <si>
    <t>SCH00960</t>
  </si>
  <si>
    <t>SCH00961</t>
  </si>
  <si>
    <t>SCH00962</t>
  </si>
  <si>
    <t>SCH00963</t>
  </si>
  <si>
    <t>SCH00964</t>
  </si>
  <si>
    <t>SCH00965</t>
  </si>
  <si>
    <t>SCH00966</t>
  </si>
  <si>
    <t>SCH00967</t>
  </si>
  <si>
    <t>SCH00968</t>
  </si>
  <si>
    <t>SCH00969</t>
  </si>
  <si>
    <t>SCH00970</t>
  </si>
  <si>
    <t>SCH00971</t>
  </si>
  <si>
    <t>SCH00972</t>
  </si>
  <si>
    <t>SCH00973</t>
  </si>
  <si>
    <t>SCH00974</t>
  </si>
  <si>
    <t>SCH00975</t>
  </si>
  <si>
    <t>SCH00976</t>
  </si>
  <si>
    <t>SCH00977</t>
  </si>
  <si>
    <t>SCH00978</t>
  </si>
  <si>
    <t>SCH00979</t>
  </si>
  <si>
    <t>SCH00980</t>
  </si>
  <si>
    <t>SCH00981</t>
  </si>
  <si>
    <t>SCH00982</t>
  </si>
  <si>
    <t>SCH00983</t>
  </si>
  <si>
    <t>SCH00984</t>
  </si>
  <si>
    <t>SCH00985</t>
  </si>
  <si>
    <t>SCH00986</t>
  </si>
  <si>
    <t>SCH00987</t>
  </si>
  <si>
    <t>SCH00988</t>
  </si>
  <si>
    <t>SCH00989</t>
  </si>
  <si>
    <t>SCH00990</t>
  </si>
  <si>
    <t>SCH00991</t>
  </si>
  <si>
    <t>SCH00992</t>
  </si>
  <si>
    <t>SCH00993</t>
  </si>
  <si>
    <t>SCH00994</t>
  </si>
  <si>
    <t>SCH00995</t>
  </si>
  <si>
    <t>SCH00996</t>
  </si>
  <si>
    <t>SCH00997</t>
  </si>
  <si>
    <t>SCH00998</t>
  </si>
  <si>
    <t>SCH00999</t>
  </si>
  <si>
    <t>SCH01000</t>
  </si>
  <si>
    <t>SCH01001</t>
  </si>
  <si>
    <t>SCH01002</t>
  </si>
  <si>
    <t>SCH01003</t>
  </si>
  <si>
    <t>SCH01004</t>
  </si>
  <si>
    <t>SCH01005</t>
  </si>
  <si>
    <t>SCH01006</t>
  </si>
  <si>
    <t>SCH01007</t>
  </si>
  <si>
    <t>SCH01008</t>
  </si>
  <si>
    <t>SCH01009</t>
  </si>
  <si>
    <t>SCH01010</t>
  </si>
  <si>
    <t>SCH01011</t>
  </si>
  <si>
    <t>SCH01012</t>
  </si>
  <si>
    <t>SCH01013</t>
  </si>
  <si>
    <t>SCH01014</t>
  </si>
  <si>
    <t>SCH01015</t>
  </si>
  <si>
    <t>SCH01016</t>
  </si>
  <si>
    <t>SCH01017</t>
  </si>
  <si>
    <t>SCH01018</t>
  </si>
  <si>
    <t>SCH01019</t>
  </si>
  <si>
    <t>SCH01020</t>
  </si>
  <si>
    <t>SCH01021</t>
  </si>
  <si>
    <t>SCH01022</t>
  </si>
  <si>
    <t>SCH01023</t>
  </si>
  <si>
    <t>SCH01024</t>
  </si>
  <si>
    <t>SCH01025</t>
  </si>
  <si>
    <t>SCH01026</t>
  </si>
  <si>
    <t>SCH01027</t>
  </si>
  <si>
    <t>SCH01028</t>
  </si>
  <si>
    <t>SCH01029</t>
  </si>
  <si>
    <t>SCH01030</t>
  </si>
  <si>
    <t>SCH01031</t>
  </si>
  <si>
    <t>SCH01032</t>
  </si>
  <si>
    <t>SCH01033</t>
  </si>
  <si>
    <t>SCH01034</t>
  </si>
  <si>
    <t>SCH01035</t>
  </si>
  <si>
    <t>SCH01036</t>
  </si>
  <si>
    <t>SCH01037</t>
  </si>
  <si>
    <t>SCH01038</t>
  </si>
  <si>
    <t>SCH01039</t>
  </si>
  <si>
    <t>SCH01040</t>
  </si>
  <si>
    <t>SCH01041</t>
  </si>
  <si>
    <t>SCH01042</t>
  </si>
  <si>
    <t>SCH01043</t>
  </si>
  <si>
    <t>SCH01044</t>
  </si>
  <si>
    <t>SCH01045</t>
  </si>
  <si>
    <t>SCH01046</t>
  </si>
  <si>
    <t>SCH01047</t>
  </si>
  <si>
    <t>SCH01048</t>
  </si>
  <si>
    <t>SCH01049</t>
  </si>
  <si>
    <t>SCH01050</t>
  </si>
  <si>
    <t>SCH01051</t>
  </si>
  <si>
    <t>SCH01052</t>
  </si>
  <si>
    <t>SCH01053</t>
  </si>
  <si>
    <t>SCH01054</t>
  </si>
  <si>
    <t>SCH01055</t>
  </si>
  <si>
    <t>SCH01056</t>
  </si>
  <si>
    <t>SCH01057</t>
  </si>
  <si>
    <t>SCH01058</t>
  </si>
  <si>
    <t>SCH01059</t>
  </si>
  <si>
    <t>SCH01060</t>
  </si>
  <si>
    <t>SCH01061</t>
  </si>
  <si>
    <t>SCH01062</t>
  </si>
  <si>
    <t>SCH01063</t>
  </si>
  <si>
    <t>SCH01064</t>
  </si>
  <si>
    <t>SCH01065</t>
  </si>
  <si>
    <t>SCH01066</t>
  </si>
  <si>
    <t>SCH01067</t>
  </si>
  <si>
    <t>SCH01068</t>
  </si>
  <si>
    <t>SCH01069</t>
  </si>
  <si>
    <t>SCH01070</t>
  </si>
  <si>
    <t>SCH01071</t>
  </si>
  <si>
    <t>SCH01072</t>
  </si>
  <si>
    <t>SCH01073</t>
  </si>
  <si>
    <t>SCH01074</t>
  </si>
  <si>
    <t>SCH01075</t>
  </si>
  <si>
    <t>SCH01076</t>
  </si>
  <si>
    <t>SCH01077</t>
  </si>
  <si>
    <t>SCH01078</t>
  </si>
  <si>
    <t>SCH01079</t>
  </si>
  <si>
    <t>SCH01080</t>
  </si>
  <si>
    <t>SCH01081</t>
  </si>
  <si>
    <t>SCH01082</t>
  </si>
  <si>
    <t>SCH01083</t>
  </si>
  <si>
    <t>SCH01084</t>
  </si>
  <si>
    <t>SCH01085</t>
  </si>
  <si>
    <t>SCH01086</t>
  </si>
  <si>
    <t>SCH01087</t>
  </si>
  <si>
    <t>SCH01088</t>
  </si>
  <si>
    <t>SCH01089</t>
  </si>
  <si>
    <t>SCH01090</t>
  </si>
  <si>
    <t>SCH01091</t>
  </si>
  <si>
    <t>SCH01092</t>
  </si>
  <si>
    <t>SCH01093</t>
  </si>
  <si>
    <t>SCH01094</t>
  </si>
  <si>
    <t>SCH01095</t>
  </si>
  <si>
    <t>SCH01096</t>
  </si>
  <si>
    <t>SCH01097</t>
  </si>
  <si>
    <t>SCH01098</t>
  </si>
  <si>
    <t>SCH01099</t>
  </si>
  <si>
    <t>SCH01100</t>
  </si>
  <si>
    <t>SCH01101</t>
  </si>
  <si>
    <t>SCH01102</t>
  </si>
  <si>
    <t>SCH01103</t>
  </si>
  <si>
    <t>SCH01104</t>
  </si>
  <si>
    <t>SCH01105</t>
  </si>
  <si>
    <t>SCH01106</t>
  </si>
  <si>
    <t>SCH01107</t>
  </si>
  <si>
    <t>SCH01108</t>
  </si>
  <si>
    <t>SCH01109</t>
  </si>
  <si>
    <t>SCH01110</t>
  </si>
  <si>
    <t>SCH01111</t>
  </si>
  <si>
    <t>SCH01112</t>
  </si>
  <si>
    <t>SCH01113</t>
  </si>
  <si>
    <t>SCH01114</t>
  </si>
  <si>
    <t>SCH01115</t>
  </si>
  <si>
    <t>SCH01116</t>
  </si>
  <si>
    <t>SCH01117</t>
  </si>
  <si>
    <t>SCH01118</t>
  </si>
  <si>
    <t>SCH01119</t>
  </si>
  <si>
    <t>SCH01120</t>
  </si>
  <si>
    <t>SCH01121</t>
  </si>
  <si>
    <t>SCH01122</t>
  </si>
  <si>
    <t>SCH01123</t>
  </si>
  <si>
    <t>SCH01124</t>
  </si>
  <si>
    <t>SCH01125</t>
  </si>
  <si>
    <t>SCH01126</t>
  </si>
  <si>
    <t>SCH01127</t>
  </si>
  <si>
    <t>SCH01128</t>
  </si>
  <si>
    <t>SCH01129</t>
  </si>
  <si>
    <t>SCH01130</t>
  </si>
  <si>
    <t>SCH01131</t>
  </si>
  <si>
    <t>SCH01132</t>
  </si>
  <si>
    <t>SCH01133</t>
  </si>
  <si>
    <t>SCH01134</t>
  </si>
  <si>
    <t>SCH01135</t>
  </si>
  <si>
    <t>SCH01136</t>
  </si>
  <si>
    <t>SCH01137</t>
  </si>
  <si>
    <t>SCH01138</t>
  </si>
  <si>
    <t>SCH01139</t>
  </si>
  <si>
    <t>SCH01140</t>
  </si>
  <si>
    <t>SCH01141</t>
  </si>
  <si>
    <t>SCH01142</t>
  </si>
  <si>
    <t>SCH01143</t>
  </si>
  <si>
    <t>SCH01144</t>
  </si>
  <si>
    <t>SCH01145</t>
  </si>
  <si>
    <t>SCH01146</t>
  </si>
  <si>
    <t>SCH01147</t>
  </si>
  <si>
    <t>SCH01148</t>
  </si>
  <si>
    <t>SCH01149</t>
  </si>
  <si>
    <t>SCH01150</t>
  </si>
  <si>
    <t>SCH01151</t>
  </si>
  <si>
    <t>SCH01152</t>
  </si>
  <si>
    <t>SCH01153</t>
  </si>
  <si>
    <t>SCH01154</t>
  </si>
  <si>
    <t>SCH01155</t>
  </si>
  <si>
    <t>SCH01156</t>
  </si>
  <si>
    <t>SCH01157</t>
  </si>
  <si>
    <t>SCH01158</t>
  </si>
  <si>
    <t>SCH01159</t>
  </si>
  <si>
    <t>SCH01160</t>
  </si>
  <si>
    <t>SCH01161</t>
  </si>
  <si>
    <t>SCH01162</t>
  </si>
  <si>
    <t>SCH01163</t>
  </si>
  <si>
    <t>SCH01164</t>
  </si>
  <si>
    <t>SCH01165</t>
  </si>
  <si>
    <t>SCH01166</t>
  </si>
  <si>
    <t>SCH01167</t>
  </si>
  <si>
    <t>SCH01168</t>
  </si>
  <si>
    <t>SCH01169</t>
  </si>
  <si>
    <t>SCH01170</t>
  </si>
  <si>
    <t>SCH01171</t>
  </si>
  <si>
    <t>SCH01172</t>
  </si>
  <si>
    <t>SCH01173</t>
  </si>
  <si>
    <t>SCH01174</t>
  </si>
  <si>
    <t>SCH01175</t>
  </si>
  <si>
    <t>SCH01176</t>
  </si>
  <si>
    <t>SCH01177</t>
  </si>
  <si>
    <t>SCH01178</t>
  </si>
  <si>
    <t>SCH01179</t>
  </si>
  <si>
    <t>SCH01180</t>
  </si>
  <si>
    <t>SCH01181</t>
  </si>
  <si>
    <t>SCH01182</t>
  </si>
  <si>
    <t>SCH01183</t>
  </si>
  <si>
    <t>SCH01184</t>
  </si>
  <si>
    <t>SCH01185</t>
  </si>
  <si>
    <t>SCH01186</t>
  </si>
  <si>
    <t>SCH01187</t>
  </si>
  <si>
    <t>SCH01188</t>
  </si>
  <si>
    <t>SCH01189</t>
  </si>
  <si>
    <t>SCH01190</t>
  </si>
  <si>
    <t>SCH01191</t>
  </si>
  <si>
    <t>SCH01192</t>
  </si>
  <si>
    <t>SCH01193</t>
  </si>
  <si>
    <t>SCH01194</t>
  </si>
  <si>
    <t>SCH01195</t>
  </si>
  <si>
    <t>SCH01196</t>
  </si>
  <si>
    <t>SCH01197</t>
  </si>
  <si>
    <t>SCH01198</t>
  </si>
  <si>
    <t>SCH01199</t>
  </si>
  <si>
    <t>SCH01200</t>
  </si>
  <si>
    <t>SCH01201</t>
  </si>
  <si>
    <t>SCH01202</t>
  </si>
  <si>
    <t>SCH01203</t>
  </si>
  <si>
    <t>SCH01204</t>
  </si>
  <si>
    <t>SCH01205</t>
  </si>
  <si>
    <t>SCH01206</t>
  </si>
  <si>
    <t>SCH01207</t>
  </si>
  <si>
    <t>SCH01208</t>
  </si>
  <si>
    <t>SCH01209</t>
  </si>
  <si>
    <t>SCH01210</t>
  </si>
  <si>
    <t>SCH01211</t>
  </si>
  <si>
    <t>SCH01212</t>
  </si>
  <si>
    <t>SCH01213</t>
  </si>
  <si>
    <t>SCH01214</t>
  </si>
  <si>
    <t>SCH01215</t>
  </si>
  <si>
    <t>SCH01216</t>
  </si>
  <si>
    <t>SCH01217</t>
  </si>
  <si>
    <t>SCH01218</t>
  </si>
  <si>
    <t>SCH01219</t>
  </si>
  <si>
    <t>SCH01220</t>
  </si>
  <si>
    <t>Healthcare Provider Lookup</t>
  </si>
  <si>
    <t>Start Time</t>
  </si>
  <si>
    <t>End Time</t>
  </si>
  <si>
    <t>Proviver Level</t>
  </si>
  <si>
    <t>Dates</t>
  </si>
  <si>
    <t>Departments</t>
  </si>
  <si>
    <t>Shifts</t>
  </si>
  <si>
    <t>Row Labels</t>
  </si>
  <si>
    <t>Grand Total</t>
  </si>
  <si>
    <t>Count of Provider ID</t>
  </si>
  <si>
    <t>Total Shifts</t>
  </si>
  <si>
    <t>Column Labels</t>
  </si>
  <si>
    <t>Jun</t>
  </si>
  <si>
    <t>Jul</t>
  </si>
  <si>
    <t>Aug</t>
  </si>
  <si>
    <t>Dr. Melissa Campbell</t>
  </si>
  <si>
    <t>938.503.2181</t>
  </si>
  <si>
    <t>zleonard@example.org</t>
  </si>
  <si>
    <t>Dr. Elizabeth Higgins</t>
  </si>
  <si>
    <t>356-428-7680x9075</t>
  </si>
  <si>
    <t>roger67@example.org</t>
  </si>
  <si>
    <t>Dr. Andrew Jackson</t>
  </si>
  <si>
    <t>507.621.9770x48979</t>
  </si>
  <si>
    <t>treed@example.net</t>
  </si>
  <si>
    <t>Dr. Frances Sims</t>
  </si>
  <si>
    <t>001-506-325-8569x6416</t>
  </si>
  <si>
    <t>dwalton@example.org</t>
  </si>
  <si>
    <t>Dr. Brady Hall</t>
  </si>
  <si>
    <t>(515)884-8090x5044</t>
  </si>
  <si>
    <t>ireyes@example.net</t>
  </si>
  <si>
    <t>Dr. Joseph Chavez</t>
  </si>
  <si>
    <t>(735)243-7785x88638</t>
  </si>
  <si>
    <t>hjohnson@example.net</t>
  </si>
  <si>
    <t>Dr. Dana Gardner</t>
  </si>
  <si>
    <t>569.326.0989</t>
  </si>
  <si>
    <t>catherineharris@example.com</t>
  </si>
  <si>
    <t>Dr. Douglas Herrera</t>
  </si>
  <si>
    <t>929-354-2570</t>
  </si>
  <si>
    <t>stanleydenise@example.org</t>
  </si>
  <si>
    <t>Dr. Samuel Shaw</t>
  </si>
  <si>
    <t>(943)828-2736x307</t>
  </si>
  <si>
    <t>jennarobinson@example.org</t>
  </si>
  <si>
    <t>Dr. Nancy Peterson</t>
  </si>
  <si>
    <t>+1-382-497-4623x918</t>
  </si>
  <si>
    <t>jacksonkyle@example.com</t>
  </si>
  <si>
    <t>Dr. Timothy Olson MD</t>
  </si>
  <si>
    <t>942-951-6655x872</t>
  </si>
  <si>
    <t>emilyterry@example.com</t>
  </si>
  <si>
    <t>Dr. Sara Pena</t>
  </si>
  <si>
    <t>468.922.7285x13904</t>
  </si>
  <si>
    <t>caitlin18@example.org</t>
  </si>
  <si>
    <t>Dr. Eric Johnson</t>
  </si>
  <si>
    <t>4609156899</t>
  </si>
  <si>
    <t>forbespatrick@example.com</t>
  </si>
  <si>
    <t>Dr. Scott Harris</t>
  </si>
  <si>
    <t>001-442-634-8854</t>
  </si>
  <si>
    <t>tnguyen@example.org</t>
  </si>
  <si>
    <t>Dr. Claire Cook</t>
  </si>
  <si>
    <t>911-787-7096x441</t>
  </si>
  <si>
    <t>marshallcassandra@example.com</t>
  </si>
  <si>
    <t>Dr. Nicole Owen</t>
  </si>
  <si>
    <t>807-329-7860</t>
  </si>
  <si>
    <t>jpeters@example.org</t>
  </si>
  <si>
    <t>Dr. Kari Smith</t>
  </si>
  <si>
    <t>354-891-0407x4797</t>
  </si>
  <si>
    <t>whitejill@example.org</t>
  </si>
  <si>
    <t>Dr. Alyssa Hernandez</t>
  </si>
  <si>
    <t>6237346196</t>
  </si>
  <si>
    <t>laurie90@example.net</t>
  </si>
  <si>
    <t>Dr. Debbie Hernandez</t>
  </si>
  <si>
    <t>001-975-707-4221x0999</t>
  </si>
  <si>
    <t>jasonstanley@example.com</t>
  </si>
  <si>
    <t>Dr. Tony Johnson</t>
  </si>
  <si>
    <t>711.487.4498x4392</t>
  </si>
  <si>
    <t>rubiosteven@example.org</t>
  </si>
  <si>
    <t>Dr. Melissa Hart</t>
  </si>
  <si>
    <t>648-668-7938x79508</t>
  </si>
  <si>
    <t>jgomez@example.org</t>
  </si>
  <si>
    <t>Dr. Sarah Weaver</t>
  </si>
  <si>
    <t>945-261-1656x4633</t>
  </si>
  <si>
    <t>hthompson@example.org</t>
  </si>
  <si>
    <t>Dr. Bryce Kemp</t>
  </si>
  <si>
    <t>416-259-6640x3446</t>
  </si>
  <si>
    <t>edwardssarah@example.com</t>
  </si>
  <si>
    <t>Dr. Sherri Macdonald</t>
  </si>
  <si>
    <t>916.368.7599x1189</t>
  </si>
  <si>
    <t>khunter@example.com</t>
  </si>
  <si>
    <t>Dr. Belinda Edwards</t>
  </si>
  <si>
    <t>+1-317-397-7282x788</t>
  </si>
  <si>
    <t>mcmillanjill@example.net</t>
  </si>
  <si>
    <t>Dr. John Parsons</t>
  </si>
  <si>
    <t>(544)658-0327x75997</t>
  </si>
  <si>
    <t>laurenlee@example.org</t>
  </si>
  <si>
    <t>Dr. Yolanda Jackson</t>
  </si>
  <si>
    <t>938-798-3795x71389</t>
  </si>
  <si>
    <t>turnerrebecca@example.com</t>
  </si>
  <si>
    <t>Dr. Norma Berg</t>
  </si>
  <si>
    <t>(219)480-3142</t>
  </si>
  <si>
    <t>ashleywells@example.org</t>
  </si>
  <si>
    <t>Dr. Jordan Porter</t>
  </si>
  <si>
    <t>001-846-427-3838</t>
  </si>
  <si>
    <t>kyle18@example.org</t>
  </si>
  <si>
    <t>Dr. Valerie Mcdaniel</t>
  </si>
  <si>
    <t>423.450.1337x994</t>
  </si>
  <si>
    <t>gcoleman@example.com</t>
  </si>
  <si>
    <t>Dr. Nathan Duncan</t>
  </si>
  <si>
    <t>001-430-966-4831x1367</t>
  </si>
  <si>
    <t>benitezdaniel@example.org</t>
  </si>
  <si>
    <t>Dr. Brian Miller</t>
  </si>
  <si>
    <t>538-269-0804</t>
  </si>
  <si>
    <t>brucebaker@example.net</t>
  </si>
  <si>
    <t>Dr. Douglas Smith</t>
  </si>
  <si>
    <t>(914)430-3767x59257</t>
  </si>
  <si>
    <t>elizabethmoon@example.org</t>
  </si>
  <si>
    <t>Dr. Kellie Cooper</t>
  </si>
  <si>
    <t>663-310-9177</t>
  </si>
  <si>
    <t>patrick11@example.org</t>
  </si>
  <si>
    <t>Dr. Ashley Quinn</t>
  </si>
  <si>
    <t>001-642-710-1251</t>
  </si>
  <si>
    <t>swilliams@example.com</t>
  </si>
  <si>
    <t>Dr. Alexandria Wilson</t>
  </si>
  <si>
    <t>(373)670-8923x585</t>
  </si>
  <si>
    <t>xyoung@example.net</t>
  </si>
  <si>
    <t>Dr. Laura Farrell</t>
  </si>
  <si>
    <t>820-840-8031</t>
  </si>
  <si>
    <t>robert11@example.com</t>
  </si>
  <si>
    <t>Dr. Donna Fowler</t>
  </si>
  <si>
    <t>981-327-2699</t>
  </si>
  <si>
    <t>kpope@example.org</t>
  </si>
  <si>
    <t>Dr. Tommy Colon</t>
  </si>
  <si>
    <t>(811)618-1668x715</t>
  </si>
  <si>
    <t>bennettderrick@example.net</t>
  </si>
  <si>
    <t>Dr. Jesse Thomas</t>
  </si>
  <si>
    <t>508-532-4020</t>
  </si>
  <si>
    <t>jimsanders@example.net</t>
  </si>
  <si>
    <t>Dr. Zachary Riddle</t>
  </si>
  <si>
    <t>001-224-256-3906x112</t>
  </si>
  <si>
    <t>kelleyalexa@example.com</t>
  </si>
  <si>
    <t>Dr. Donna Allen</t>
  </si>
  <si>
    <t>7055244900</t>
  </si>
  <si>
    <t>masseylindsey@example.org</t>
  </si>
  <si>
    <t>Dr. Christine Evans</t>
  </si>
  <si>
    <t>375-728-2731x67840</t>
  </si>
  <si>
    <t>ereid@example.net</t>
  </si>
  <si>
    <t>Dr. David Jordan</t>
  </si>
  <si>
    <t>001-508-726-8792x093</t>
  </si>
  <si>
    <t>baileychristina@example.net</t>
  </si>
  <si>
    <t>Dr. Spencer Marks</t>
  </si>
  <si>
    <t>001-568-691-8205x450</t>
  </si>
  <si>
    <t>david29@example.org</t>
  </si>
  <si>
    <t>Dr. Lauren James</t>
  </si>
  <si>
    <t>(517)971-6900x1236</t>
  </si>
  <si>
    <t>alicia15@example.org</t>
  </si>
  <si>
    <t>Dr. Tammy Welch</t>
  </si>
  <si>
    <t>370.928.8607x06998</t>
  </si>
  <si>
    <t>ryanrussell@example.com</t>
  </si>
  <si>
    <t>Dr. Maria Davis</t>
  </si>
  <si>
    <t>+1-459-504-2365x824</t>
  </si>
  <si>
    <t>morenobilly@example.net</t>
  </si>
  <si>
    <t>Dr. Jimmy Campbell</t>
  </si>
  <si>
    <t>+1-558-551-4162</t>
  </si>
  <si>
    <t>john07@example.net</t>
  </si>
  <si>
    <t>Dr. Melissa Casey</t>
  </si>
  <si>
    <t>+1-431-222-0277x81907</t>
  </si>
  <si>
    <t>johnsonjean@example.net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</si>
</sst>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yyyy\-mm\-dd\ hh:mm:ss"/>
    <numFmt numFmtId="166" formatCode="yyyy\-mm\-dd;@"/>
    <numFmt numFmtId="167" formatCode="h:mm;@"/>
    <numFmt numFmtId="168" formatCode="[&lt;=9999999]###\-####;\(###\)\ ###\-####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3" borderId="0" xfId="0" applyFont="1" applyFill="1"/>
    <xf numFmtId="0" fontId="1" fillId="0" borderId="0" xfId="0" applyFont="1"/>
    <xf numFmtId="164" fontId="0" fillId="2" borderId="1" xfId="0" applyNumberFormat="1" applyFill="1" applyBorder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2" fillId="4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5">
    <dxf>
      <numFmt numFmtId="165" formatCode="yyyy\-mm\-dd\ hh:mm:ss"/>
    </dxf>
    <dxf>
      <numFmt numFmtId="165" formatCode="yyyy\-mm\-dd\ hh:mm:ss"/>
    </dxf>
    <dxf>
      <numFmt numFmtId="164" formatCode="yyyy\-mm\-dd"/>
    </dxf>
    <dxf>
      <numFmt numFmtId="164" formatCode="yyyy\-mm\-dd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ona Lollis" refreshedDate="46219.268049999999" createdVersion="8" refreshedVersion="8" minRefreshableVersion="3" recordCount="50" xr:uid="{52AB8F1F-CA69-CF46-A559-0617F6FCFD3F}">
  <cacheSource type="worksheet">
    <worksheetSource name="tblProviders"/>
  </cacheSource>
  <cacheFields count="13">
    <cacheField name="Provider ID" numFmtId="0">
      <sharedItems/>
    </cacheField>
    <cacheField name="Provider Name" numFmtId="0">
      <sharedItems/>
    </cacheField>
    <cacheField name="Primary Department" numFmtId="0">
      <sharedItems count="10">
        <s v="Emergency Medicine"/>
        <s v="Cardiology"/>
        <s v="Neurology"/>
        <s v="Pediatrics"/>
        <s v="Orthopedics"/>
        <s v="General Surgery"/>
        <s v="Radiology"/>
        <s v="Obstetrics"/>
        <s v="Intensive Care"/>
        <s v="Internal Medicine"/>
      </sharedItems>
    </cacheField>
    <cacheField name="Specialty" numFmtId="0">
      <sharedItems/>
    </cacheField>
    <cacheField name="Provider Level" numFmtId="0">
      <sharedItems count="3">
        <s v="Resident"/>
        <s v="Fellow"/>
        <s v="Attending"/>
      </sharedItems>
    </cacheField>
    <cacheField name="Hire Date" numFmtId="164">
      <sharedItems containsSemiMixedTypes="0" containsNonDate="0" containsDate="1" containsString="0" minDate="1993-04-16T00:00:00" maxDate="2026-06-19T00:00:00"/>
    </cacheField>
    <cacheField name="Years of Experience" numFmtId="0">
      <sharedItems containsSemiMixedTypes="0" containsString="0" containsNumber="1" containsInteger="1" minValue="1" maxValue="34"/>
    </cacheField>
    <cacheField name="Employment Type" numFmtId="0">
      <sharedItems/>
    </cacheField>
    <cacheField name="Shift Preference" numFmtId="0">
      <sharedItems/>
    </cacheField>
    <cacheField name="Status" numFmtId="0">
      <sharedItems/>
    </cacheField>
    <cacheField name="Phone Number" numFmtId="0">
      <sharedItems/>
    </cacheField>
    <cacheField name="Extension" numFmtId="0">
      <sharedItems containsSemiMixedTypes="0" containsString="0" containsNumber="1" containsInteger="1" minValue="1225" maxValue="9693"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ona Lollis" refreshedDate="46219.268050231483" createdVersion="8" refreshedVersion="8" minRefreshableVersion="3" recordCount="1220" xr:uid="{4CD67ECD-15AD-0E4D-A7B5-E315B3857204}">
  <cacheSource type="worksheet">
    <worksheetSource name="tblSchedule"/>
  </cacheSource>
  <cacheFields count="15">
    <cacheField name="Schedule ID" numFmtId="0">
      <sharedItems/>
    </cacheField>
    <cacheField name="Date" numFmtId="164">
      <sharedItems containsSemiMixedTypes="0" containsNonDate="0" containsDate="1" containsString="0" minDate="2026-06-16T00:00:00" maxDate="2026-08-16T00:00:00"/>
    </cacheField>
    <cacheField name="Day of Week" numFmtId="0">
      <sharedItems/>
    </cacheField>
    <cacheField name="Time Period" numFmtId="0">
      <sharedItems/>
    </cacheField>
    <cacheField name="Department" numFmtId="0">
      <sharedItems count="10">
        <s v="Emergency Medicine"/>
        <s v="Cardiology"/>
        <s v="Neurology"/>
        <s v="Pediatrics"/>
        <s v="Orthopedics"/>
        <s v="General Surgery"/>
        <s v="Radiology"/>
        <s v="Obstetrics"/>
        <s v="Intensive Care"/>
        <s v="Internal Medicine"/>
      </sharedItems>
    </cacheField>
    <cacheField name="Shift" numFmtId="0">
      <sharedItems/>
    </cacheField>
    <cacheField name="Start Date/Time" numFmtId="165">
      <sharedItems containsSemiMixedTypes="0" containsNonDate="0" containsDate="1" containsString="0" minDate="2026-06-16T07:00:00" maxDate="2026-08-15T19:00:00" count="122">
        <d v="2026-06-16T07:00:00"/>
        <d v="2026-06-16T19:00:00"/>
        <d v="2026-06-17T07:00:00"/>
        <d v="2026-06-17T19:00:00"/>
        <d v="2026-06-18T07:00:00"/>
        <d v="2026-06-18T19:00:00"/>
        <d v="2026-06-19T07:00:00"/>
        <d v="2026-06-19T19:00:00"/>
        <d v="2026-06-20T07:00:00"/>
        <d v="2026-06-20T19:00:00"/>
        <d v="2026-06-21T07:00:00"/>
        <d v="2026-06-21T19:00:00"/>
        <d v="2026-06-22T07:00:00"/>
        <d v="2026-06-22T19:00:00"/>
        <d v="2026-06-23T07:00:00"/>
        <d v="2026-06-23T19:00:00"/>
        <d v="2026-06-24T07:00:00"/>
        <d v="2026-06-24T19:00:00"/>
        <d v="2026-06-25T07:00:00"/>
        <d v="2026-06-25T19:00:00"/>
        <d v="2026-06-26T07:00:00"/>
        <d v="2026-06-26T19:00:00"/>
        <d v="2026-06-27T07:00:00"/>
        <d v="2026-06-27T19:00:00"/>
        <d v="2026-06-28T07:00:00"/>
        <d v="2026-06-28T19:00:00"/>
        <d v="2026-06-29T07:00:00"/>
        <d v="2026-06-29T19:00:00"/>
        <d v="2026-06-30T07:00:00"/>
        <d v="2026-06-30T19:00:00"/>
        <d v="2026-07-01T07:00:00"/>
        <d v="2026-07-01T19:00:00"/>
        <d v="2026-07-02T07:00:00"/>
        <d v="2026-07-02T19:00:00"/>
        <d v="2026-07-03T07:00:00"/>
        <d v="2026-07-03T19:00:00"/>
        <d v="2026-07-04T07:00:00"/>
        <d v="2026-07-04T19:00:00"/>
        <d v="2026-07-05T07:00:00"/>
        <d v="2026-07-05T19:00:00"/>
        <d v="2026-07-06T07:00:00"/>
        <d v="2026-07-06T19:00:00"/>
        <d v="2026-07-07T07:00:00"/>
        <d v="2026-07-07T19:00:00"/>
        <d v="2026-07-08T07:00:00"/>
        <d v="2026-07-08T19:00:00"/>
        <d v="2026-07-09T07:00:00"/>
        <d v="2026-07-09T19:00:00"/>
        <d v="2026-07-10T07:00:00"/>
        <d v="2026-07-10T19:00:00"/>
        <d v="2026-07-11T07:00:00"/>
        <d v="2026-07-11T19:00:00"/>
        <d v="2026-07-12T07:00:00"/>
        <d v="2026-07-12T19:00:00"/>
        <d v="2026-07-13T07:00:00"/>
        <d v="2026-07-13T19:00:00"/>
        <d v="2026-07-14T07:00:00"/>
        <d v="2026-07-14T19:00:00"/>
        <d v="2026-07-15T07:00:00"/>
        <d v="2026-07-15T19:00:00"/>
        <d v="2026-07-16T07:00:00"/>
        <d v="2026-07-16T19:00:00"/>
        <d v="2026-07-17T07:00:00"/>
        <d v="2026-07-17T19:00:00"/>
        <d v="2026-07-18T07:00:00"/>
        <d v="2026-07-18T19:00:00"/>
        <d v="2026-07-19T07:00:00"/>
        <d v="2026-07-19T19:00:00"/>
        <d v="2026-07-20T07:00:00"/>
        <d v="2026-07-20T19:00:00"/>
        <d v="2026-07-21T07:00:00"/>
        <d v="2026-07-21T19:00:00"/>
        <d v="2026-07-22T07:00:00"/>
        <d v="2026-07-22T19:00:00"/>
        <d v="2026-07-23T07:00:00"/>
        <d v="2026-07-23T19:00:00"/>
        <d v="2026-07-24T07:00:00"/>
        <d v="2026-07-24T19:00:00"/>
        <d v="2026-07-25T07:00:00"/>
        <d v="2026-07-25T19:00:00"/>
        <d v="2026-07-26T07:00:00"/>
        <d v="2026-07-26T19:00:00"/>
        <d v="2026-07-27T07:00:00"/>
        <d v="2026-07-27T19:00:00"/>
        <d v="2026-07-28T07:00:00"/>
        <d v="2026-07-28T19:00:00"/>
        <d v="2026-07-29T07:00:00"/>
        <d v="2026-07-29T19:00:00"/>
        <d v="2026-07-30T07:00:00"/>
        <d v="2026-07-30T19:00:00"/>
        <d v="2026-07-31T07:00:00"/>
        <d v="2026-07-31T19:00:00"/>
        <d v="2026-08-01T07:00:00"/>
        <d v="2026-08-01T19:00:00"/>
        <d v="2026-08-02T07:00:00"/>
        <d v="2026-08-02T19:00:00"/>
        <d v="2026-08-03T07:00:00"/>
        <d v="2026-08-03T19:00:00"/>
        <d v="2026-08-04T07:00:00"/>
        <d v="2026-08-04T19:00:00"/>
        <d v="2026-08-05T07:00:00"/>
        <d v="2026-08-05T19:00:00"/>
        <d v="2026-08-06T07:00:00"/>
        <d v="2026-08-06T19:00:00"/>
        <d v="2026-08-07T07:00:00"/>
        <d v="2026-08-07T19:00:00"/>
        <d v="2026-08-08T07:00:00"/>
        <d v="2026-08-08T19:00:00"/>
        <d v="2026-08-09T07:00:00"/>
        <d v="2026-08-09T19:00:00"/>
        <d v="2026-08-10T07:00:00"/>
        <d v="2026-08-10T19:00:00"/>
        <d v="2026-08-11T07:00:00"/>
        <d v="2026-08-11T19:00:00"/>
        <d v="2026-08-12T07:00:00"/>
        <d v="2026-08-12T19:00:00"/>
        <d v="2026-08-13T07:00:00"/>
        <d v="2026-08-13T19:00:00"/>
        <d v="2026-08-14T07:00:00"/>
        <d v="2026-08-14T19:00:00"/>
        <d v="2026-08-15T07:00:00"/>
        <d v="2026-08-15T19:00:00"/>
      </sharedItems>
      <fieldGroup par="12"/>
    </cacheField>
    <cacheField name="End Date/Time" numFmtId="165">
      <sharedItems containsSemiMixedTypes="0" containsNonDate="0" containsDate="1" containsString="0" minDate="2026-06-16T19:00:00" maxDate="2026-08-16T07:00:00" count="122">
        <d v="2026-06-16T19:00:00"/>
        <d v="2026-06-17T07:00:00"/>
        <d v="2026-06-17T19:00:00"/>
        <d v="2026-06-18T07:00:00"/>
        <d v="2026-06-18T19:00:00"/>
        <d v="2026-06-19T07:00:00"/>
        <d v="2026-06-19T19:00:00"/>
        <d v="2026-06-20T07:00:00"/>
        <d v="2026-06-20T19:00:00"/>
        <d v="2026-06-21T07:00:00"/>
        <d v="2026-06-21T19:00:00"/>
        <d v="2026-06-22T07:00:00"/>
        <d v="2026-06-22T19:00:00"/>
        <d v="2026-06-23T07:00:00"/>
        <d v="2026-06-23T19:00:00"/>
        <d v="2026-06-24T07:00:00"/>
        <d v="2026-06-24T19:00:00"/>
        <d v="2026-06-25T07:00:00"/>
        <d v="2026-06-25T19:00:00"/>
        <d v="2026-06-26T07:00:00"/>
        <d v="2026-06-26T19:00:00"/>
        <d v="2026-06-27T07:00:00"/>
        <d v="2026-06-27T19:00:00"/>
        <d v="2026-06-28T07:00:00"/>
        <d v="2026-06-28T19:00:00"/>
        <d v="2026-06-29T07:00:00"/>
        <d v="2026-06-29T19:00:00"/>
        <d v="2026-06-30T07:00:00"/>
        <d v="2026-06-30T19:00:00"/>
        <d v="2026-07-01T07:00:00"/>
        <d v="2026-07-01T19:00:00"/>
        <d v="2026-07-02T07:00:00"/>
        <d v="2026-07-02T19:00:00"/>
        <d v="2026-07-03T07:00:00"/>
        <d v="2026-07-03T19:00:00"/>
        <d v="2026-07-04T07:00:00"/>
        <d v="2026-07-04T19:00:00"/>
        <d v="2026-07-05T07:00:00"/>
        <d v="2026-07-05T19:00:00"/>
        <d v="2026-07-06T07:00:00"/>
        <d v="2026-07-06T19:00:00"/>
        <d v="2026-07-07T07:00:00"/>
        <d v="2026-07-07T19:00:00"/>
        <d v="2026-07-08T07:00:00"/>
        <d v="2026-07-08T19:00:00"/>
        <d v="2026-07-09T07:00:00"/>
        <d v="2026-07-09T19:00:00"/>
        <d v="2026-07-10T07:00:00"/>
        <d v="2026-07-10T19:00:00"/>
        <d v="2026-07-11T07:00:00"/>
        <d v="2026-07-11T19:00:00"/>
        <d v="2026-07-12T07:00:00"/>
        <d v="2026-07-12T19:00:00"/>
        <d v="2026-07-13T07:00:00"/>
        <d v="2026-07-13T19:00:00"/>
        <d v="2026-07-14T07:00:00"/>
        <d v="2026-07-14T19:00:00"/>
        <d v="2026-07-15T07:00:00"/>
        <d v="2026-07-15T19:00:00"/>
        <d v="2026-07-16T07:00:00"/>
        <d v="2026-07-16T19:00:00"/>
        <d v="2026-07-17T07:00:00"/>
        <d v="2026-07-17T19:00:00"/>
        <d v="2026-07-18T07:00:00"/>
        <d v="2026-07-18T19:00:00"/>
        <d v="2026-07-19T07:00:00"/>
        <d v="2026-07-19T19:00:00"/>
        <d v="2026-07-20T07:00:00"/>
        <d v="2026-07-20T19:00:00"/>
        <d v="2026-07-21T07:00:00"/>
        <d v="2026-07-21T19:00:00"/>
        <d v="2026-07-22T07:00:00"/>
        <d v="2026-07-22T19:00:00"/>
        <d v="2026-07-23T07:00:00"/>
        <d v="2026-07-23T19:00:00"/>
        <d v="2026-07-24T07:00:00"/>
        <d v="2026-07-24T19:00:00"/>
        <d v="2026-07-25T07:00:00"/>
        <d v="2026-07-25T19:00:00"/>
        <d v="2026-07-26T07:00:00"/>
        <d v="2026-07-26T19:00:00"/>
        <d v="2026-07-27T07:00:00"/>
        <d v="2026-07-27T19:00:00"/>
        <d v="2026-07-28T07:00:00"/>
        <d v="2026-07-28T19:00:00"/>
        <d v="2026-07-29T07:00:00"/>
        <d v="2026-07-29T19:00:00"/>
        <d v="2026-07-30T07:00:00"/>
        <d v="2026-07-30T19:00:00"/>
        <d v="2026-07-31T07:00:00"/>
        <d v="2026-07-31T19:00:00"/>
        <d v="2026-08-01T07:00:00"/>
        <d v="2026-08-01T19:00:00"/>
        <d v="2026-08-02T07:00:00"/>
        <d v="2026-08-02T19:00:00"/>
        <d v="2026-08-03T07:00:00"/>
        <d v="2026-08-03T19:00:00"/>
        <d v="2026-08-04T07:00:00"/>
        <d v="2026-08-04T19:00:00"/>
        <d v="2026-08-05T07:00:00"/>
        <d v="2026-08-05T19:00:00"/>
        <d v="2026-08-06T07:00:00"/>
        <d v="2026-08-06T19:00:00"/>
        <d v="2026-08-07T07:00:00"/>
        <d v="2026-08-07T19:00:00"/>
        <d v="2026-08-08T07:00:00"/>
        <d v="2026-08-08T19:00:00"/>
        <d v="2026-08-09T07:00:00"/>
        <d v="2026-08-09T19:00:00"/>
        <d v="2026-08-10T07:00:00"/>
        <d v="2026-08-10T19:00:00"/>
        <d v="2026-08-11T07:00:00"/>
        <d v="2026-08-11T19:00:00"/>
        <d v="2026-08-12T07:00:00"/>
        <d v="2026-08-12T19:00:00"/>
        <d v="2026-08-13T07:00:00"/>
        <d v="2026-08-13T19:00:00"/>
        <d v="2026-08-14T07:00:00"/>
        <d v="2026-08-14T19:00:00"/>
        <d v="2026-08-15T07:00:00"/>
        <d v="2026-08-15T19:00:00"/>
        <d v="2026-08-16T07:00:00"/>
      </sharedItems>
      <fieldGroup par="14"/>
    </cacheField>
    <cacheField name="Shift Length" numFmtId="0">
      <sharedItems containsSemiMixedTypes="0" containsString="0" containsNumber="1" containsInteger="1" minValue="12" maxValue="12"/>
    </cacheField>
    <cacheField name="Provider ID" numFmtId="0">
      <sharedItems count="50">
        <s v="DR002"/>
        <s v="DR001"/>
        <s v="DR007"/>
        <s v="DR008"/>
        <s v="DR011"/>
        <s v="DR012"/>
        <s v="DR016"/>
        <s v="DR020"/>
        <s v="DR025"/>
        <s v="DR023"/>
        <s v="DR028"/>
        <s v="DR026"/>
        <s v="DR035"/>
        <s v="DR032"/>
        <s v="DR038"/>
        <s v="DR036"/>
        <s v="DR043"/>
        <s v="DR042"/>
        <s v="DR049"/>
        <s v="DR048"/>
        <s v="DR005"/>
        <s v="DR010"/>
        <s v="DR015"/>
        <s v="DR017"/>
        <s v="DR022"/>
        <s v="DR030"/>
        <s v="DR027"/>
        <s v="DR034"/>
        <s v="DR040"/>
        <s v="DR037"/>
        <s v="DR045"/>
        <s v="DR050"/>
        <s v="DR047"/>
        <s v="DR013"/>
        <s v="DR018"/>
        <s v="DR031"/>
        <s v="DR033"/>
        <s v="DR014"/>
        <s v="DR019"/>
        <s v="DR041"/>
        <s v="DR009"/>
        <s v="DR029"/>
        <s v="DR046"/>
        <s v="DR021"/>
        <s v="DR044"/>
        <s v="DR006"/>
        <s v="DR004" u="1"/>
        <s v="DR039" u="1"/>
        <s v="DR003" u="1"/>
        <s v="DR024" u="1"/>
      </sharedItems>
    </cacheField>
    <cacheField name="Schedule Status" numFmtId="0">
      <sharedItems count="3">
        <s v="Completed"/>
        <s v="Active"/>
        <s v="Scheduled"/>
      </sharedItems>
    </cacheField>
    <cacheField name="Days (Start Date/Time)" numFmtId="0" databaseField="0">
      <fieldGroup base="6">
        <rangePr groupBy="days" startDate="2026-06-16T07:00:00" endDate="2026-08-15T19:00:00"/>
        <groupItems count="368">
          <s v="&lt;6/16/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15/26"/>
        </groupItems>
      </fieldGroup>
    </cacheField>
    <cacheField name="Months (Start Date/Time)" numFmtId="0" databaseField="0">
      <fieldGroup base="6">
        <rangePr groupBy="months" startDate="2026-06-16T07:00:00" endDate="2026-08-15T19:00:00"/>
        <groupItems count="14">
          <s v="&lt;6/16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15/26"/>
        </groupItems>
      </fieldGroup>
    </cacheField>
    <cacheField name="Days (End Date/Time)" numFmtId="0" databaseField="0">
      <fieldGroup base="7">
        <rangePr groupBy="days" startDate="2026-06-16T19:00:00" endDate="2026-08-16T07:00:00"/>
        <groupItems count="368">
          <s v="&lt;6/16/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16/26"/>
        </groupItems>
      </fieldGroup>
    </cacheField>
    <cacheField name="Months (End Date/Time)" numFmtId="0" databaseField="0">
      <fieldGroup base="7">
        <rangePr groupBy="months" startDate="2026-06-16T19:00:00" endDate="2026-08-16T07:00:00"/>
        <groupItems count="14">
          <s v="&lt;6/16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16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DR001"/>
    <s v="Dr. Melissa Campbell"/>
    <x v="0"/>
    <s v="Trauma"/>
    <x v="0"/>
    <d v="2024-09-12T00:00:00"/>
    <n v="2"/>
    <s v="PRN"/>
    <s v="Night"/>
    <s v="Active"/>
    <s v="938.503.2181"/>
    <n v="9143"/>
    <s v="zleonard@example.org"/>
  </r>
  <r>
    <s v="DR002"/>
    <s v="Dr. Elizabeth Higgins"/>
    <x v="0"/>
    <s v="Trauma"/>
    <x v="0"/>
    <d v="2024-08-30T00:00:00"/>
    <n v="2"/>
    <s v="Part-Time"/>
    <s v="Day"/>
    <s v="Active"/>
    <s v="356-428-7680x9075"/>
    <n v="2222"/>
    <s v="roger67@example.org"/>
  </r>
  <r>
    <s v="DR003"/>
    <s v="Dr. Andrew Jackson"/>
    <x v="0"/>
    <s v="Trauma"/>
    <x v="0"/>
    <d v="2021-07-25T00:00:00"/>
    <n v="5"/>
    <s v="Full-Time"/>
    <s v="Both"/>
    <s v="On Leave"/>
    <s v="507.621.9770x48979"/>
    <n v="5343"/>
    <s v="treed@example.net"/>
  </r>
  <r>
    <s v="DR004"/>
    <s v="Dr. Frances Sims"/>
    <x v="0"/>
    <s v="Trauma"/>
    <x v="1"/>
    <d v="2021-08-01T00:00:00"/>
    <n v="5"/>
    <s v="Full-Time"/>
    <s v="Both"/>
    <s v="Vacation"/>
    <s v="001-506-325-8569x6416"/>
    <n v="3178"/>
    <s v="dwalton@example.org"/>
  </r>
  <r>
    <s v="DR005"/>
    <s v="Dr. Brady Hall"/>
    <x v="0"/>
    <s v="Trauma"/>
    <x v="2"/>
    <d v="2018-06-11T00:00:00"/>
    <n v="9"/>
    <s v="Part-Time"/>
    <s v="Night"/>
    <s v="Active"/>
    <s v="(515)884-8090x5044"/>
    <n v="2889"/>
    <s v="ireyes@example.net"/>
  </r>
  <r>
    <s v="DR006"/>
    <s v="Dr. Joseph Chavez"/>
    <x v="1"/>
    <s v="Cardiology"/>
    <x v="0"/>
    <d v="2022-07-06T00:00:00"/>
    <n v="5"/>
    <s v="Full-Time"/>
    <s v="Both"/>
    <s v="Active"/>
    <s v="(735)243-7785x88638"/>
    <n v="1459"/>
    <s v="hjohnson@example.net"/>
  </r>
  <r>
    <s v="DR007"/>
    <s v="Dr. Dana Gardner"/>
    <x v="1"/>
    <s v="Cardiology"/>
    <x v="0"/>
    <d v="2023-12-17T00:00:00"/>
    <n v="3"/>
    <s v="Full-Time"/>
    <s v="Night"/>
    <s v="Active"/>
    <s v="569.326.0989"/>
    <n v="4673"/>
    <s v="catherineharris@example.com"/>
  </r>
  <r>
    <s v="DR008"/>
    <s v="Dr. Douglas Herrera"/>
    <x v="1"/>
    <s v="Cardiology"/>
    <x v="0"/>
    <d v="2023-07-17T00:00:00"/>
    <n v="3"/>
    <s v="Full-Time"/>
    <s v="Night"/>
    <s v="Active"/>
    <s v="929-354-2570"/>
    <n v="2455"/>
    <s v="stanleydenise@example.org"/>
  </r>
  <r>
    <s v="DR009"/>
    <s v="Dr. Samuel Shaw"/>
    <x v="1"/>
    <s v="Cardiology"/>
    <x v="1"/>
    <d v="2018-11-28T00:00:00"/>
    <n v="8"/>
    <s v="Full-Time"/>
    <s v="Day"/>
    <s v="Active"/>
    <s v="(943)828-2736x307"/>
    <n v="8718"/>
    <s v="jennarobinson@example.org"/>
  </r>
  <r>
    <s v="DR010"/>
    <s v="Dr. Nancy Peterson"/>
    <x v="1"/>
    <s v="Cardiology"/>
    <x v="2"/>
    <d v="2012-03-28T00:00:00"/>
    <n v="15"/>
    <s v="Full-Time"/>
    <s v="Night"/>
    <s v="Active"/>
    <s v="+1-382-497-4623x918"/>
    <n v="9333"/>
    <s v="jacksonkyle@example.com"/>
  </r>
  <r>
    <s v="DR011"/>
    <s v="Dr. Timothy Olson MD"/>
    <x v="2"/>
    <s v="Neurology"/>
    <x v="0"/>
    <d v="2024-06-06T00:00:00"/>
    <n v="3"/>
    <s v="Full-Time"/>
    <s v="Night"/>
    <s v="Active"/>
    <s v="942-951-6655x872"/>
    <n v="3171"/>
    <s v="emilyterry@example.com"/>
  </r>
  <r>
    <s v="DR012"/>
    <s v="Dr. Sara Pena"/>
    <x v="2"/>
    <s v="Neurology"/>
    <x v="0"/>
    <d v="2022-04-17T00:00:00"/>
    <n v="5"/>
    <s v="PRN"/>
    <s v="Day"/>
    <s v="Active"/>
    <s v="468.922.7285x13904"/>
    <n v="3250"/>
    <s v="caitlin18@example.org"/>
  </r>
  <r>
    <s v="DR013"/>
    <s v="Dr. Eric Johnson"/>
    <x v="2"/>
    <s v="Neurology"/>
    <x v="0"/>
    <d v="2025-06-07T00:00:00"/>
    <n v="2"/>
    <s v="Full-Time"/>
    <s v="Day"/>
    <s v="Active"/>
    <s v="4609156899"/>
    <n v="9693"/>
    <s v="forbespatrick@example.com"/>
  </r>
  <r>
    <s v="DR014"/>
    <s v="Dr. Scott Harris"/>
    <x v="2"/>
    <s v="Neurology"/>
    <x v="1"/>
    <d v="2021-05-06T00:00:00"/>
    <n v="6"/>
    <s v="Full-Time"/>
    <s v="Day"/>
    <s v="Active"/>
    <s v="001-442-634-8854"/>
    <n v="5292"/>
    <s v="tnguyen@example.org"/>
  </r>
  <r>
    <s v="DR015"/>
    <s v="Dr. Claire Cook"/>
    <x v="2"/>
    <s v="Neurology"/>
    <x v="2"/>
    <d v="2002-01-31T00:00:00"/>
    <n v="25"/>
    <s v="PRN"/>
    <s v="Both"/>
    <s v="Active"/>
    <s v="911-787-7096x441"/>
    <n v="3982"/>
    <s v="marshallcassandra@example.com"/>
  </r>
  <r>
    <s v="DR016"/>
    <s v="Dr. Nicole Owen"/>
    <x v="3"/>
    <s v="Pediatrics"/>
    <x v="0"/>
    <d v="2022-11-19T00:00:00"/>
    <n v="4"/>
    <s v="Part-Time"/>
    <s v="Day"/>
    <s v="Active"/>
    <s v="807-329-7860"/>
    <n v="1225"/>
    <s v="jpeters@example.org"/>
  </r>
  <r>
    <s v="DR017"/>
    <s v="Dr. Kari Smith"/>
    <x v="3"/>
    <s v="Pediatrics"/>
    <x v="0"/>
    <d v="2025-03-19T00:00:00"/>
    <n v="2"/>
    <s v="Full-Time"/>
    <s v="Day"/>
    <s v="Active"/>
    <s v="354-891-0407x4797"/>
    <n v="2338"/>
    <s v="whitejill@example.org"/>
  </r>
  <r>
    <s v="DR018"/>
    <s v="Dr. Alyssa Hernandez"/>
    <x v="3"/>
    <s v="Pediatrics"/>
    <x v="0"/>
    <d v="2026-01-22T00:00:00"/>
    <n v="1"/>
    <s v="PRN"/>
    <s v="Both"/>
    <s v="Active"/>
    <s v="6237346196"/>
    <n v="9037"/>
    <s v="laurie90@example.net"/>
  </r>
  <r>
    <s v="DR019"/>
    <s v="Dr. Debbie Hernandez"/>
    <x v="3"/>
    <s v="Pediatrics"/>
    <x v="1"/>
    <d v="2018-09-12T00:00:00"/>
    <n v="8"/>
    <s v="Full-Time"/>
    <s v="Both"/>
    <s v="Active"/>
    <s v="001-975-707-4221x0999"/>
    <n v="8914"/>
    <s v="jasonstanley@example.com"/>
  </r>
  <r>
    <s v="DR020"/>
    <s v="Dr. Tony Johnson"/>
    <x v="3"/>
    <s v="Pediatrics"/>
    <x v="2"/>
    <d v="2004-07-05T00:00:00"/>
    <n v="23"/>
    <s v="Full-Time"/>
    <s v="Day"/>
    <s v="Active"/>
    <s v="711.487.4498x4392"/>
    <n v="6630"/>
    <s v="rubiosteven@example.org"/>
  </r>
  <r>
    <s v="DR021"/>
    <s v="Dr. Melissa Hart"/>
    <x v="4"/>
    <s v="Orthopedic Surgery"/>
    <x v="0"/>
    <d v="2022-09-17T00:00:00"/>
    <n v="4"/>
    <s v="Part-Time"/>
    <s v="Day"/>
    <s v="Active"/>
    <s v="648-668-7938x79508"/>
    <n v="6789"/>
    <s v="jgomez@example.org"/>
  </r>
  <r>
    <s v="DR022"/>
    <s v="Dr. Sarah Weaver"/>
    <x v="4"/>
    <s v="Orthopedic Surgery"/>
    <x v="0"/>
    <d v="2022-02-05T00:00:00"/>
    <n v="5"/>
    <s v="Full-Time"/>
    <s v="Day"/>
    <s v="Active"/>
    <s v="945-261-1656x4633"/>
    <n v="3268"/>
    <s v="hthompson@example.org"/>
  </r>
  <r>
    <s v="DR023"/>
    <s v="Dr. Bryce Kemp"/>
    <x v="4"/>
    <s v="Orthopedic Surgery"/>
    <x v="0"/>
    <d v="2024-09-23T00:00:00"/>
    <n v="2"/>
    <s v="Full-Time"/>
    <s v="Night"/>
    <s v="Active"/>
    <s v="416-259-6640x3446"/>
    <n v="1471"/>
    <s v="edwardssarah@example.com"/>
  </r>
  <r>
    <s v="DR024"/>
    <s v="Dr. Sherri Macdonald"/>
    <x v="4"/>
    <s v="Orthopedic Surgery"/>
    <x v="1"/>
    <d v="2020-07-16T00:00:00"/>
    <n v="6"/>
    <s v="PRN"/>
    <s v="Day"/>
    <s v="On Leave"/>
    <s v="916.368.7599x1189"/>
    <n v="5421"/>
    <s v="khunter@example.com"/>
  </r>
  <r>
    <s v="DR025"/>
    <s v="Dr. Belinda Edwards"/>
    <x v="4"/>
    <s v="Orthopedic Surgery"/>
    <x v="2"/>
    <d v="2014-12-08T00:00:00"/>
    <n v="12"/>
    <s v="PRN"/>
    <s v="Night"/>
    <s v="Active"/>
    <s v="+1-317-397-7282x788"/>
    <n v="9424"/>
    <s v="mcmillanjill@example.net"/>
  </r>
  <r>
    <s v="DR026"/>
    <s v="Dr. John Parsons"/>
    <x v="5"/>
    <s v="General Surgery"/>
    <x v="0"/>
    <d v="2026-06-11T00:00:00"/>
    <n v="1"/>
    <s v="PRN"/>
    <s v="Night"/>
    <s v="Active"/>
    <s v="(544)658-0327x75997"/>
    <n v="9390"/>
    <s v="laurenlee@example.org"/>
  </r>
  <r>
    <s v="DR027"/>
    <s v="Dr. Yolanda Jackson"/>
    <x v="5"/>
    <s v="General Surgery"/>
    <x v="0"/>
    <d v="2024-10-16T00:00:00"/>
    <n v="2"/>
    <s v="Full-Time"/>
    <s v="Day"/>
    <s v="Active"/>
    <s v="938-798-3795x71389"/>
    <n v="5739"/>
    <s v="turnerrebecca@example.com"/>
  </r>
  <r>
    <s v="DR028"/>
    <s v="Dr. Norma Berg"/>
    <x v="5"/>
    <s v="General Surgery"/>
    <x v="0"/>
    <d v="2022-04-22T00:00:00"/>
    <n v="5"/>
    <s v="PRN"/>
    <s v="Both"/>
    <s v="Active"/>
    <s v="(219)480-3142"/>
    <n v="7491"/>
    <s v="ashleywells@example.org"/>
  </r>
  <r>
    <s v="DR029"/>
    <s v="Dr. Jordan Porter"/>
    <x v="5"/>
    <s v="General Surgery"/>
    <x v="1"/>
    <d v="2020-12-17T00:00:00"/>
    <n v="6"/>
    <s v="PRN"/>
    <s v="Both"/>
    <s v="Active"/>
    <s v="001-846-427-3838"/>
    <n v="9120"/>
    <s v="kyle18@example.org"/>
  </r>
  <r>
    <s v="DR030"/>
    <s v="Dr. Valerie Mcdaniel"/>
    <x v="5"/>
    <s v="General Surgery"/>
    <x v="2"/>
    <d v="2017-10-26T00:00:00"/>
    <n v="9"/>
    <s v="PRN"/>
    <s v="Night"/>
    <s v="Active"/>
    <s v="423.450.1337x994"/>
    <n v="1233"/>
    <s v="gcoleman@example.com"/>
  </r>
  <r>
    <s v="DR031"/>
    <s v="Dr. Nathan Duncan"/>
    <x v="6"/>
    <s v="Radiology"/>
    <x v="0"/>
    <d v="2022-12-13T00:00:00"/>
    <n v="4"/>
    <s v="PRN"/>
    <s v="Night"/>
    <s v="Active"/>
    <s v="001-430-966-4831x1367"/>
    <n v="2320"/>
    <s v="benitezdaniel@example.org"/>
  </r>
  <r>
    <s v="DR032"/>
    <s v="Dr. Brian Miller"/>
    <x v="6"/>
    <s v="Radiology"/>
    <x v="0"/>
    <d v="2023-02-07T00:00:00"/>
    <n v="4"/>
    <s v="PRN"/>
    <s v="Night"/>
    <s v="Active"/>
    <s v="538-269-0804"/>
    <n v="9213"/>
    <s v="brucebaker@example.net"/>
  </r>
  <r>
    <s v="DR033"/>
    <s v="Dr. Douglas Smith"/>
    <x v="6"/>
    <s v="Radiology"/>
    <x v="0"/>
    <d v="2022-08-14T00:00:00"/>
    <n v="4"/>
    <s v="PRN"/>
    <s v="Night"/>
    <s v="Active"/>
    <s v="(914)430-3767x59257"/>
    <n v="7673"/>
    <s v="elizabethmoon@example.org"/>
  </r>
  <r>
    <s v="DR034"/>
    <s v="Dr. Kellie Cooper"/>
    <x v="6"/>
    <s v="Radiology"/>
    <x v="1"/>
    <d v="2021-09-21T00:00:00"/>
    <n v="5"/>
    <s v="Full-Time"/>
    <s v="Both"/>
    <s v="Active"/>
    <s v="663-310-9177"/>
    <n v="3071"/>
    <s v="patrick11@example.org"/>
  </r>
  <r>
    <s v="DR035"/>
    <s v="Dr. Ashley Quinn"/>
    <x v="6"/>
    <s v="Radiology"/>
    <x v="2"/>
    <d v="1993-04-16T00:00:00"/>
    <n v="34"/>
    <s v="Part-Time"/>
    <s v="Both"/>
    <s v="Active"/>
    <s v="001-642-710-1251"/>
    <n v="8733"/>
    <s v="swilliams@example.com"/>
  </r>
  <r>
    <s v="DR036"/>
    <s v="Dr. Alexandria Wilson"/>
    <x v="7"/>
    <s v="Maternal-Fetal Medicine"/>
    <x v="0"/>
    <d v="2025-04-23T00:00:00"/>
    <n v="2"/>
    <s v="PRN"/>
    <s v="Both"/>
    <s v="Active"/>
    <s v="(373)670-8923x585"/>
    <n v="7223"/>
    <s v="xyoung@example.net"/>
  </r>
  <r>
    <s v="DR037"/>
    <s v="Dr. Laura Farrell"/>
    <x v="7"/>
    <s v="Maternal-Fetal Medicine"/>
    <x v="0"/>
    <d v="2025-07-06T00:00:00"/>
    <n v="2"/>
    <s v="Full-Time"/>
    <s v="Night"/>
    <s v="Active"/>
    <s v="820-840-8031"/>
    <n v="2638"/>
    <s v="robert11@example.com"/>
  </r>
  <r>
    <s v="DR038"/>
    <s v="Dr. Donna Fowler"/>
    <x v="7"/>
    <s v="Maternal-Fetal Medicine"/>
    <x v="0"/>
    <d v="2026-04-11T00:00:00"/>
    <n v="1"/>
    <s v="Full-Time"/>
    <s v="Both"/>
    <s v="Active"/>
    <s v="981-327-2699"/>
    <n v="4215"/>
    <s v="kpope@example.org"/>
  </r>
  <r>
    <s v="DR039"/>
    <s v="Dr. Tommy Colon"/>
    <x v="7"/>
    <s v="Maternal-Fetal Medicine"/>
    <x v="1"/>
    <d v="2020-02-21T00:00:00"/>
    <n v="7"/>
    <s v="Part-Time"/>
    <s v="Night"/>
    <s v="Vacation"/>
    <s v="(811)618-1668x715"/>
    <n v="5427"/>
    <s v="bennettderrick@example.net"/>
  </r>
  <r>
    <s v="DR040"/>
    <s v="Dr. Jesse Thomas"/>
    <x v="7"/>
    <s v="Maternal-Fetal Medicine"/>
    <x v="2"/>
    <d v="2000-07-17T00:00:00"/>
    <n v="26"/>
    <s v="Part-Time"/>
    <s v="Day"/>
    <s v="Active"/>
    <s v="508-532-4020"/>
    <n v="1914"/>
    <s v="jimsanders@example.net"/>
  </r>
  <r>
    <s v="DR041"/>
    <s v="Dr. Zachary Riddle"/>
    <x v="8"/>
    <s v="Critical Care"/>
    <x v="0"/>
    <d v="2022-09-18T00:00:00"/>
    <n v="4"/>
    <s v="PRN"/>
    <s v="Both"/>
    <s v="Active"/>
    <s v="001-224-256-3906x112"/>
    <n v="9284"/>
    <s v="kelleyalexa@example.com"/>
  </r>
  <r>
    <s v="DR042"/>
    <s v="Dr. Donna Allen"/>
    <x v="8"/>
    <s v="Critical Care"/>
    <x v="0"/>
    <d v="2021-11-03T00:00:00"/>
    <n v="5"/>
    <s v="Part-Time"/>
    <s v="Both"/>
    <s v="Active"/>
    <s v="7055244900"/>
    <n v="1809"/>
    <s v="masseylindsey@example.org"/>
  </r>
  <r>
    <s v="DR043"/>
    <s v="Dr. Christine Evans"/>
    <x v="8"/>
    <s v="Critical Care"/>
    <x v="0"/>
    <d v="2022-10-10T00:00:00"/>
    <n v="4"/>
    <s v="Part-Time"/>
    <s v="Night"/>
    <s v="Active"/>
    <s v="375-728-2731x67840"/>
    <n v="2496"/>
    <s v="ereid@example.net"/>
  </r>
  <r>
    <s v="DR044"/>
    <s v="Dr. David Jordan"/>
    <x v="8"/>
    <s v="Critical Care"/>
    <x v="1"/>
    <d v="2019-11-08T00:00:00"/>
    <n v="7"/>
    <s v="PRN"/>
    <s v="Day"/>
    <s v="Active"/>
    <s v="001-508-726-8792x093"/>
    <n v="8420"/>
    <s v="baileychristina@example.net"/>
  </r>
  <r>
    <s v="DR045"/>
    <s v="Dr. Spencer Marks"/>
    <x v="8"/>
    <s v="Critical Care"/>
    <x v="2"/>
    <d v="1998-03-13T00:00:00"/>
    <n v="29"/>
    <s v="Full-Time"/>
    <s v="Night"/>
    <s v="Active"/>
    <s v="001-568-691-8205x450"/>
    <n v="9206"/>
    <s v="david29@example.org"/>
  </r>
  <r>
    <s v="DR046"/>
    <s v="Dr. Lauren James"/>
    <x v="9"/>
    <s v="Internal Medicine"/>
    <x v="0"/>
    <d v="2025-01-02T00:00:00"/>
    <n v="2"/>
    <s v="PRN"/>
    <s v="Night"/>
    <s v="Active"/>
    <s v="(517)971-6900x1236"/>
    <n v="3884"/>
    <s v="alicia15@example.org"/>
  </r>
  <r>
    <s v="DR047"/>
    <s v="Dr. Tammy Welch"/>
    <x v="9"/>
    <s v="Internal Medicine"/>
    <x v="0"/>
    <d v="2021-12-06T00:00:00"/>
    <n v="5"/>
    <s v="PRN"/>
    <s v="Both"/>
    <s v="Active"/>
    <s v="370.928.8607x06998"/>
    <n v="8964"/>
    <s v="ryanrussell@example.com"/>
  </r>
  <r>
    <s v="DR048"/>
    <s v="Dr. Maria Davis"/>
    <x v="9"/>
    <s v="Internal Medicine"/>
    <x v="0"/>
    <d v="2026-06-18T00:00:00"/>
    <n v="1"/>
    <s v="Full-Time"/>
    <s v="Night"/>
    <s v="Active"/>
    <s v="+1-459-504-2365x824"/>
    <n v="7239"/>
    <s v="morenobilly@example.net"/>
  </r>
  <r>
    <s v="DR049"/>
    <s v="Dr. Jimmy Campbell"/>
    <x v="9"/>
    <s v="Internal Medicine"/>
    <x v="1"/>
    <d v="2021-06-15T00:00:00"/>
    <n v="6"/>
    <s v="PRN"/>
    <s v="Day"/>
    <s v="Active"/>
    <s v="+1-558-551-4162"/>
    <n v="9426"/>
    <s v="john07@example.net"/>
  </r>
  <r>
    <s v="DR050"/>
    <s v="Dr. Melissa Casey"/>
    <x v="9"/>
    <s v="Internal Medicine"/>
    <x v="2"/>
    <d v="2010-06-29T00:00:00"/>
    <n v="17"/>
    <s v="PRN"/>
    <s v="Day"/>
    <s v="Active"/>
    <s v="+1-431-222-0277x81907"/>
    <n v="7062"/>
    <s v="johnsonjean@example.n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0">
  <r>
    <s v="SCH00001"/>
    <d v="2026-06-16T00:00:00"/>
    <s v="Tuesday"/>
    <s v="Historical"/>
    <x v="0"/>
    <s v="Day"/>
    <x v="0"/>
    <x v="0"/>
    <n v="12"/>
    <x v="0"/>
    <x v="0"/>
  </r>
  <r>
    <s v="SCH00002"/>
    <d v="2026-06-16T00:00:00"/>
    <s v="Tuesday"/>
    <s v="Historical"/>
    <x v="0"/>
    <s v="Night"/>
    <x v="1"/>
    <x v="1"/>
    <n v="12"/>
    <x v="1"/>
    <x v="0"/>
  </r>
  <r>
    <s v="SCH00003"/>
    <d v="2026-06-16T00:00:00"/>
    <s v="Tuesday"/>
    <s v="Historical"/>
    <x v="1"/>
    <s v="Day"/>
    <x v="0"/>
    <x v="0"/>
    <n v="12"/>
    <x v="2"/>
    <x v="0"/>
  </r>
  <r>
    <s v="SCH00004"/>
    <d v="2026-06-16T00:00:00"/>
    <s v="Tuesday"/>
    <s v="Historical"/>
    <x v="1"/>
    <s v="Night"/>
    <x v="1"/>
    <x v="1"/>
    <n v="12"/>
    <x v="3"/>
    <x v="0"/>
  </r>
  <r>
    <s v="SCH00005"/>
    <d v="2026-06-16T00:00:00"/>
    <s v="Tuesday"/>
    <s v="Historical"/>
    <x v="2"/>
    <s v="Day"/>
    <x v="0"/>
    <x v="0"/>
    <n v="12"/>
    <x v="4"/>
    <x v="0"/>
  </r>
  <r>
    <s v="SCH00006"/>
    <d v="2026-06-16T00:00:00"/>
    <s v="Tuesday"/>
    <s v="Historical"/>
    <x v="2"/>
    <s v="Night"/>
    <x v="1"/>
    <x v="1"/>
    <n v="12"/>
    <x v="5"/>
    <x v="0"/>
  </r>
  <r>
    <s v="SCH00007"/>
    <d v="2026-06-16T00:00:00"/>
    <s v="Tuesday"/>
    <s v="Historical"/>
    <x v="3"/>
    <s v="Day"/>
    <x v="0"/>
    <x v="0"/>
    <n v="12"/>
    <x v="6"/>
    <x v="0"/>
  </r>
  <r>
    <s v="SCH00008"/>
    <d v="2026-06-16T00:00:00"/>
    <s v="Tuesday"/>
    <s v="Historical"/>
    <x v="3"/>
    <s v="Night"/>
    <x v="1"/>
    <x v="1"/>
    <n v="12"/>
    <x v="7"/>
    <x v="0"/>
  </r>
  <r>
    <s v="SCH00009"/>
    <d v="2026-06-16T00:00:00"/>
    <s v="Tuesday"/>
    <s v="Historical"/>
    <x v="4"/>
    <s v="Day"/>
    <x v="0"/>
    <x v="0"/>
    <n v="12"/>
    <x v="8"/>
    <x v="0"/>
  </r>
  <r>
    <s v="SCH00010"/>
    <d v="2026-06-16T00:00:00"/>
    <s v="Tuesday"/>
    <s v="Historical"/>
    <x v="4"/>
    <s v="Night"/>
    <x v="1"/>
    <x v="1"/>
    <n v="12"/>
    <x v="9"/>
    <x v="0"/>
  </r>
  <r>
    <s v="SCH00011"/>
    <d v="2026-06-16T00:00:00"/>
    <s v="Tuesday"/>
    <s v="Historical"/>
    <x v="5"/>
    <s v="Day"/>
    <x v="0"/>
    <x v="0"/>
    <n v="12"/>
    <x v="10"/>
    <x v="0"/>
  </r>
  <r>
    <s v="SCH00012"/>
    <d v="2026-06-16T00:00:00"/>
    <s v="Tuesday"/>
    <s v="Historical"/>
    <x v="5"/>
    <s v="Night"/>
    <x v="1"/>
    <x v="1"/>
    <n v="12"/>
    <x v="11"/>
    <x v="0"/>
  </r>
  <r>
    <s v="SCH00013"/>
    <d v="2026-06-16T00:00:00"/>
    <s v="Tuesday"/>
    <s v="Historical"/>
    <x v="6"/>
    <s v="Day"/>
    <x v="0"/>
    <x v="0"/>
    <n v="12"/>
    <x v="12"/>
    <x v="0"/>
  </r>
  <r>
    <s v="SCH00014"/>
    <d v="2026-06-16T00:00:00"/>
    <s v="Tuesday"/>
    <s v="Historical"/>
    <x v="6"/>
    <s v="Night"/>
    <x v="1"/>
    <x v="1"/>
    <n v="12"/>
    <x v="13"/>
    <x v="0"/>
  </r>
  <r>
    <s v="SCH00015"/>
    <d v="2026-06-16T00:00:00"/>
    <s v="Tuesday"/>
    <s v="Historical"/>
    <x v="7"/>
    <s v="Day"/>
    <x v="0"/>
    <x v="0"/>
    <n v="12"/>
    <x v="14"/>
    <x v="0"/>
  </r>
  <r>
    <s v="SCH00016"/>
    <d v="2026-06-16T00:00:00"/>
    <s v="Tuesday"/>
    <s v="Historical"/>
    <x v="7"/>
    <s v="Night"/>
    <x v="1"/>
    <x v="1"/>
    <n v="12"/>
    <x v="15"/>
    <x v="0"/>
  </r>
  <r>
    <s v="SCH00017"/>
    <d v="2026-06-16T00:00:00"/>
    <s v="Tuesday"/>
    <s v="Historical"/>
    <x v="8"/>
    <s v="Day"/>
    <x v="0"/>
    <x v="0"/>
    <n v="12"/>
    <x v="16"/>
    <x v="0"/>
  </r>
  <r>
    <s v="SCH00018"/>
    <d v="2026-06-16T00:00:00"/>
    <s v="Tuesday"/>
    <s v="Historical"/>
    <x v="8"/>
    <s v="Night"/>
    <x v="1"/>
    <x v="1"/>
    <n v="12"/>
    <x v="17"/>
    <x v="0"/>
  </r>
  <r>
    <s v="SCH00019"/>
    <d v="2026-06-16T00:00:00"/>
    <s v="Tuesday"/>
    <s v="Historical"/>
    <x v="9"/>
    <s v="Day"/>
    <x v="0"/>
    <x v="0"/>
    <n v="12"/>
    <x v="18"/>
    <x v="0"/>
  </r>
  <r>
    <s v="SCH00020"/>
    <d v="2026-06-16T00:00:00"/>
    <s v="Tuesday"/>
    <s v="Historical"/>
    <x v="9"/>
    <s v="Night"/>
    <x v="1"/>
    <x v="1"/>
    <n v="12"/>
    <x v="19"/>
    <x v="0"/>
  </r>
  <r>
    <s v="SCH00021"/>
    <d v="2026-06-17T00:00:00"/>
    <s v="Wednesday"/>
    <s v="Historical"/>
    <x v="0"/>
    <s v="Day"/>
    <x v="2"/>
    <x v="2"/>
    <n v="12"/>
    <x v="20"/>
    <x v="0"/>
  </r>
  <r>
    <s v="SCH00022"/>
    <d v="2026-06-17T00:00:00"/>
    <s v="Wednesday"/>
    <s v="Historical"/>
    <x v="0"/>
    <s v="Night"/>
    <x v="3"/>
    <x v="3"/>
    <n v="12"/>
    <x v="1"/>
    <x v="0"/>
  </r>
  <r>
    <s v="SCH00023"/>
    <d v="2026-06-17T00:00:00"/>
    <s v="Wednesday"/>
    <s v="Historical"/>
    <x v="1"/>
    <s v="Day"/>
    <x v="2"/>
    <x v="2"/>
    <n v="12"/>
    <x v="21"/>
    <x v="0"/>
  </r>
  <r>
    <s v="SCH00024"/>
    <d v="2026-06-17T00:00:00"/>
    <s v="Wednesday"/>
    <s v="Historical"/>
    <x v="1"/>
    <s v="Night"/>
    <x v="3"/>
    <x v="3"/>
    <n v="12"/>
    <x v="3"/>
    <x v="0"/>
  </r>
  <r>
    <s v="SCH00025"/>
    <d v="2026-06-17T00:00:00"/>
    <s v="Wednesday"/>
    <s v="Historical"/>
    <x v="2"/>
    <s v="Day"/>
    <x v="2"/>
    <x v="2"/>
    <n v="12"/>
    <x v="22"/>
    <x v="0"/>
  </r>
  <r>
    <s v="SCH00026"/>
    <d v="2026-06-17T00:00:00"/>
    <s v="Wednesday"/>
    <s v="Historical"/>
    <x v="2"/>
    <s v="Night"/>
    <x v="3"/>
    <x v="3"/>
    <n v="12"/>
    <x v="4"/>
    <x v="0"/>
  </r>
  <r>
    <s v="SCH00027"/>
    <d v="2026-06-17T00:00:00"/>
    <s v="Wednesday"/>
    <s v="Historical"/>
    <x v="3"/>
    <s v="Day"/>
    <x v="2"/>
    <x v="2"/>
    <n v="12"/>
    <x v="23"/>
    <x v="0"/>
  </r>
  <r>
    <s v="SCH00028"/>
    <d v="2026-06-17T00:00:00"/>
    <s v="Wednesday"/>
    <s v="Historical"/>
    <x v="3"/>
    <s v="Night"/>
    <x v="3"/>
    <x v="3"/>
    <n v="12"/>
    <x v="6"/>
    <x v="0"/>
  </r>
  <r>
    <s v="SCH00029"/>
    <d v="2026-06-17T00:00:00"/>
    <s v="Wednesday"/>
    <s v="Historical"/>
    <x v="4"/>
    <s v="Day"/>
    <x v="2"/>
    <x v="2"/>
    <n v="12"/>
    <x v="8"/>
    <x v="0"/>
  </r>
  <r>
    <s v="SCH00030"/>
    <d v="2026-06-17T00:00:00"/>
    <s v="Wednesday"/>
    <s v="Historical"/>
    <x v="4"/>
    <s v="Night"/>
    <x v="3"/>
    <x v="3"/>
    <n v="12"/>
    <x v="24"/>
    <x v="0"/>
  </r>
  <r>
    <s v="SCH00031"/>
    <d v="2026-06-17T00:00:00"/>
    <s v="Wednesday"/>
    <s v="Historical"/>
    <x v="5"/>
    <s v="Day"/>
    <x v="2"/>
    <x v="2"/>
    <n v="12"/>
    <x v="25"/>
    <x v="0"/>
  </r>
  <r>
    <s v="SCH00032"/>
    <d v="2026-06-17T00:00:00"/>
    <s v="Wednesday"/>
    <s v="Historical"/>
    <x v="5"/>
    <s v="Night"/>
    <x v="3"/>
    <x v="3"/>
    <n v="12"/>
    <x v="26"/>
    <x v="0"/>
  </r>
  <r>
    <s v="SCH00033"/>
    <d v="2026-06-17T00:00:00"/>
    <s v="Wednesday"/>
    <s v="Historical"/>
    <x v="6"/>
    <s v="Day"/>
    <x v="2"/>
    <x v="2"/>
    <n v="12"/>
    <x v="12"/>
    <x v="0"/>
  </r>
  <r>
    <s v="SCH00034"/>
    <d v="2026-06-17T00:00:00"/>
    <s v="Wednesday"/>
    <s v="Historical"/>
    <x v="6"/>
    <s v="Night"/>
    <x v="3"/>
    <x v="3"/>
    <n v="12"/>
    <x v="27"/>
    <x v="0"/>
  </r>
  <r>
    <s v="SCH00035"/>
    <d v="2026-06-17T00:00:00"/>
    <s v="Wednesday"/>
    <s v="Historical"/>
    <x v="7"/>
    <s v="Day"/>
    <x v="2"/>
    <x v="2"/>
    <n v="12"/>
    <x v="28"/>
    <x v="0"/>
  </r>
  <r>
    <s v="SCH00036"/>
    <d v="2026-06-17T00:00:00"/>
    <s v="Wednesday"/>
    <s v="Historical"/>
    <x v="7"/>
    <s v="Night"/>
    <x v="3"/>
    <x v="3"/>
    <n v="12"/>
    <x v="29"/>
    <x v="0"/>
  </r>
  <r>
    <s v="SCH00037"/>
    <d v="2026-06-17T00:00:00"/>
    <s v="Wednesday"/>
    <s v="Historical"/>
    <x v="8"/>
    <s v="Day"/>
    <x v="2"/>
    <x v="2"/>
    <n v="12"/>
    <x v="30"/>
    <x v="0"/>
  </r>
  <r>
    <s v="SCH00038"/>
    <d v="2026-06-17T00:00:00"/>
    <s v="Wednesday"/>
    <s v="Historical"/>
    <x v="8"/>
    <s v="Night"/>
    <x v="3"/>
    <x v="3"/>
    <n v="12"/>
    <x v="17"/>
    <x v="0"/>
  </r>
  <r>
    <s v="SCH00039"/>
    <d v="2026-06-17T00:00:00"/>
    <s v="Wednesday"/>
    <s v="Historical"/>
    <x v="9"/>
    <s v="Day"/>
    <x v="2"/>
    <x v="2"/>
    <n v="12"/>
    <x v="31"/>
    <x v="0"/>
  </r>
  <r>
    <s v="SCH00040"/>
    <d v="2026-06-17T00:00:00"/>
    <s v="Wednesday"/>
    <s v="Historical"/>
    <x v="9"/>
    <s v="Night"/>
    <x v="3"/>
    <x v="3"/>
    <n v="12"/>
    <x v="32"/>
    <x v="0"/>
  </r>
  <r>
    <s v="SCH00041"/>
    <d v="2026-06-18T00:00:00"/>
    <s v="Thursday"/>
    <s v="Historical"/>
    <x v="0"/>
    <s v="Day"/>
    <x v="4"/>
    <x v="4"/>
    <n v="12"/>
    <x v="1"/>
    <x v="0"/>
  </r>
  <r>
    <s v="SCH00042"/>
    <d v="2026-06-18T00:00:00"/>
    <s v="Thursday"/>
    <s v="Historical"/>
    <x v="0"/>
    <s v="Night"/>
    <x v="5"/>
    <x v="5"/>
    <n v="12"/>
    <x v="0"/>
    <x v="0"/>
  </r>
  <r>
    <s v="SCH00043"/>
    <d v="2026-06-18T00:00:00"/>
    <s v="Thursday"/>
    <s v="Historical"/>
    <x v="1"/>
    <s v="Day"/>
    <x v="4"/>
    <x v="4"/>
    <n v="12"/>
    <x v="2"/>
    <x v="0"/>
  </r>
  <r>
    <s v="SCH00044"/>
    <d v="2026-06-18T00:00:00"/>
    <s v="Thursday"/>
    <s v="Historical"/>
    <x v="1"/>
    <s v="Night"/>
    <x v="5"/>
    <x v="5"/>
    <n v="12"/>
    <x v="21"/>
    <x v="0"/>
  </r>
  <r>
    <s v="SCH00045"/>
    <d v="2026-06-18T00:00:00"/>
    <s v="Thursday"/>
    <s v="Historical"/>
    <x v="2"/>
    <s v="Day"/>
    <x v="4"/>
    <x v="4"/>
    <n v="12"/>
    <x v="4"/>
    <x v="0"/>
  </r>
  <r>
    <s v="SCH00046"/>
    <d v="2026-06-18T00:00:00"/>
    <s v="Thursday"/>
    <s v="Historical"/>
    <x v="2"/>
    <s v="Night"/>
    <x v="5"/>
    <x v="5"/>
    <n v="12"/>
    <x v="33"/>
    <x v="0"/>
  </r>
  <r>
    <s v="SCH00047"/>
    <d v="2026-06-18T00:00:00"/>
    <s v="Thursday"/>
    <s v="Historical"/>
    <x v="3"/>
    <s v="Day"/>
    <x v="4"/>
    <x v="4"/>
    <n v="12"/>
    <x v="34"/>
    <x v="0"/>
  </r>
  <r>
    <s v="SCH00048"/>
    <d v="2026-06-18T00:00:00"/>
    <s v="Thursday"/>
    <s v="Historical"/>
    <x v="3"/>
    <s v="Night"/>
    <x v="5"/>
    <x v="5"/>
    <n v="12"/>
    <x v="23"/>
    <x v="0"/>
  </r>
  <r>
    <s v="SCH00049"/>
    <d v="2026-06-18T00:00:00"/>
    <s v="Thursday"/>
    <s v="Historical"/>
    <x v="4"/>
    <s v="Day"/>
    <x v="4"/>
    <x v="4"/>
    <n v="12"/>
    <x v="9"/>
    <x v="0"/>
  </r>
  <r>
    <s v="SCH00050"/>
    <d v="2026-06-18T00:00:00"/>
    <s v="Thursday"/>
    <s v="Historical"/>
    <x v="4"/>
    <s v="Night"/>
    <x v="5"/>
    <x v="5"/>
    <n v="12"/>
    <x v="24"/>
    <x v="0"/>
  </r>
  <r>
    <s v="SCH00051"/>
    <d v="2026-06-18T00:00:00"/>
    <s v="Thursday"/>
    <s v="Historical"/>
    <x v="5"/>
    <s v="Day"/>
    <x v="4"/>
    <x v="4"/>
    <n v="12"/>
    <x v="25"/>
    <x v="0"/>
  </r>
  <r>
    <s v="SCH00052"/>
    <d v="2026-06-18T00:00:00"/>
    <s v="Thursday"/>
    <s v="Historical"/>
    <x v="5"/>
    <s v="Night"/>
    <x v="5"/>
    <x v="5"/>
    <n v="12"/>
    <x v="26"/>
    <x v="0"/>
  </r>
  <r>
    <s v="SCH00053"/>
    <d v="2026-06-18T00:00:00"/>
    <s v="Thursday"/>
    <s v="Historical"/>
    <x v="6"/>
    <s v="Day"/>
    <x v="4"/>
    <x v="4"/>
    <n v="12"/>
    <x v="35"/>
    <x v="0"/>
  </r>
  <r>
    <s v="SCH00054"/>
    <d v="2026-06-18T00:00:00"/>
    <s v="Thursday"/>
    <s v="Historical"/>
    <x v="6"/>
    <s v="Night"/>
    <x v="5"/>
    <x v="5"/>
    <n v="12"/>
    <x v="36"/>
    <x v="0"/>
  </r>
  <r>
    <s v="SCH00055"/>
    <d v="2026-06-18T00:00:00"/>
    <s v="Thursday"/>
    <s v="Historical"/>
    <x v="7"/>
    <s v="Day"/>
    <x v="4"/>
    <x v="4"/>
    <n v="12"/>
    <x v="29"/>
    <x v="0"/>
  </r>
  <r>
    <s v="SCH00056"/>
    <d v="2026-06-18T00:00:00"/>
    <s v="Thursday"/>
    <s v="Historical"/>
    <x v="7"/>
    <s v="Night"/>
    <x v="5"/>
    <x v="5"/>
    <n v="12"/>
    <x v="28"/>
    <x v="0"/>
  </r>
  <r>
    <s v="SCH00057"/>
    <d v="2026-06-18T00:00:00"/>
    <s v="Thursday"/>
    <s v="Historical"/>
    <x v="8"/>
    <s v="Day"/>
    <x v="4"/>
    <x v="4"/>
    <n v="12"/>
    <x v="30"/>
    <x v="0"/>
  </r>
  <r>
    <s v="SCH00058"/>
    <d v="2026-06-18T00:00:00"/>
    <s v="Thursday"/>
    <s v="Historical"/>
    <x v="8"/>
    <s v="Night"/>
    <x v="5"/>
    <x v="5"/>
    <n v="12"/>
    <x v="17"/>
    <x v="0"/>
  </r>
  <r>
    <s v="SCH00059"/>
    <d v="2026-06-18T00:00:00"/>
    <s v="Thursday"/>
    <s v="Historical"/>
    <x v="9"/>
    <s v="Day"/>
    <x v="4"/>
    <x v="4"/>
    <n v="12"/>
    <x v="18"/>
    <x v="0"/>
  </r>
  <r>
    <s v="SCH00060"/>
    <d v="2026-06-18T00:00:00"/>
    <s v="Thursday"/>
    <s v="Historical"/>
    <x v="9"/>
    <s v="Night"/>
    <x v="5"/>
    <x v="5"/>
    <n v="12"/>
    <x v="32"/>
    <x v="0"/>
  </r>
  <r>
    <s v="SCH00061"/>
    <d v="2026-06-19T00:00:00"/>
    <s v="Friday"/>
    <s v="Historical"/>
    <x v="0"/>
    <s v="Day"/>
    <x v="6"/>
    <x v="6"/>
    <n v="12"/>
    <x v="1"/>
    <x v="0"/>
  </r>
  <r>
    <s v="SCH00062"/>
    <d v="2026-06-19T00:00:00"/>
    <s v="Friday"/>
    <s v="Historical"/>
    <x v="0"/>
    <s v="Night"/>
    <x v="7"/>
    <x v="7"/>
    <n v="12"/>
    <x v="20"/>
    <x v="0"/>
  </r>
  <r>
    <s v="SCH00063"/>
    <d v="2026-06-19T00:00:00"/>
    <s v="Friday"/>
    <s v="Historical"/>
    <x v="1"/>
    <s v="Day"/>
    <x v="6"/>
    <x v="6"/>
    <n v="12"/>
    <x v="2"/>
    <x v="0"/>
  </r>
  <r>
    <s v="SCH00064"/>
    <d v="2026-06-19T00:00:00"/>
    <s v="Friday"/>
    <s v="Historical"/>
    <x v="1"/>
    <s v="Night"/>
    <x v="7"/>
    <x v="7"/>
    <n v="12"/>
    <x v="3"/>
    <x v="0"/>
  </r>
  <r>
    <s v="SCH00065"/>
    <d v="2026-06-19T00:00:00"/>
    <s v="Friday"/>
    <s v="Historical"/>
    <x v="2"/>
    <s v="Day"/>
    <x v="6"/>
    <x v="6"/>
    <n v="12"/>
    <x v="5"/>
    <x v="0"/>
  </r>
  <r>
    <s v="SCH00066"/>
    <d v="2026-06-19T00:00:00"/>
    <s v="Friday"/>
    <s v="Historical"/>
    <x v="2"/>
    <s v="Night"/>
    <x v="7"/>
    <x v="7"/>
    <n v="12"/>
    <x v="37"/>
    <x v="0"/>
  </r>
  <r>
    <s v="SCH00067"/>
    <d v="2026-06-19T00:00:00"/>
    <s v="Friday"/>
    <s v="Historical"/>
    <x v="3"/>
    <s v="Day"/>
    <x v="6"/>
    <x v="6"/>
    <n v="12"/>
    <x v="38"/>
    <x v="0"/>
  </r>
  <r>
    <s v="SCH00068"/>
    <d v="2026-06-19T00:00:00"/>
    <s v="Friday"/>
    <s v="Historical"/>
    <x v="3"/>
    <s v="Night"/>
    <x v="7"/>
    <x v="7"/>
    <n v="12"/>
    <x v="7"/>
    <x v="0"/>
  </r>
  <r>
    <s v="SCH00069"/>
    <d v="2026-06-19T00:00:00"/>
    <s v="Friday"/>
    <s v="Historical"/>
    <x v="4"/>
    <s v="Day"/>
    <x v="6"/>
    <x v="6"/>
    <n v="12"/>
    <x v="9"/>
    <x v="0"/>
  </r>
  <r>
    <s v="SCH00070"/>
    <d v="2026-06-19T00:00:00"/>
    <s v="Friday"/>
    <s v="Historical"/>
    <x v="4"/>
    <s v="Night"/>
    <x v="7"/>
    <x v="7"/>
    <n v="12"/>
    <x v="24"/>
    <x v="0"/>
  </r>
  <r>
    <s v="SCH00071"/>
    <d v="2026-06-19T00:00:00"/>
    <s v="Friday"/>
    <s v="Historical"/>
    <x v="5"/>
    <s v="Day"/>
    <x v="6"/>
    <x v="6"/>
    <n v="12"/>
    <x v="11"/>
    <x v="0"/>
  </r>
  <r>
    <s v="SCH00072"/>
    <d v="2026-06-19T00:00:00"/>
    <s v="Friday"/>
    <s v="Historical"/>
    <x v="5"/>
    <s v="Night"/>
    <x v="7"/>
    <x v="7"/>
    <n v="12"/>
    <x v="10"/>
    <x v="0"/>
  </r>
  <r>
    <s v="SCH00073"/>
    <d v="2026-06-19T00:00:00"/>
    <s v="Friday"/>
    <s v="Historical"/>
    <x v="6"/>
    <s v="Day"/>
    <x v="6"/>
    <x v="6"/>
    <n v="12"/>
    <x v="27"/>
    <x v="0"/>
  </r>
  <r>
    <s v="SCH00074"/>
    <d v="2026-06-19T00:00:00"/>
    <s v="Friday"/>
    <s v="Historical"/>
    <x v="6"/>
    <s v="Night"/>
    <x v="7"/>
    <x v="7"/>
    <n v="12"/>
    <x v="13"/>
    <x v="0"/>
  </r>
  <r>
    <s v="SCH00075"/>
    <d v="2026-06-19T00:00:00"/>
    <s v="Friday"/>
    <s v="Historical"/>
    <x v="7"/>
    <s v="Day"/>
    <x v="6"/>
    <x v="6"/>
    <n v="12"/>
    <x v="15"/>
    <x v="0"/>
  </r>
  <r>
    <s v="SCH00076"/>
    <d v="2026-06-19T00:00:00"/>
    <s v="Friday"/>
    <s v="Historical"/>
    <x v="7"/>
    <s v="Night"/>
    <x v="7"/>
    <x v="7"/>
    <n v="12"/>
    <x v="29"/>
    <x v="0"/>
  </r>
  <r>
    <s v="SCH00077"/>
    <d v="2026-06-19T00:00:00"/>
    <s v="Friday"/>
    <s v="Historical"/>
    <x v="8"/>
    <s v="Day"/>
    <x v="6"/>
    <x v="6"/>
    <n v="12"/>
    <x v="39"/>
    <x v="0"/>
  </r>
  <r>
    <s v="SCH00078"/>
    <d v="2026-06-19T00:00:00"/>
    <s v="Friday"/>
    <s v="Historical"/>
    <x v="8"/>
    <s v="Night"/>
    <x v="7"/>
    <x v="7"/>
    <n v="12"/>
    <x v="17"/>
    <x v="0"/>
  </r>
  <r>
    <s v="SCH00079"/>
    <d v="2026-06-19T00:00:00"/>
    <s v="Friday"/>
    <s v="Historical"/>
    <x v="9"/>
    <s v="Day"/>
    <x v="6"/>
    <x v="6"/>
    <n v="12"/>
    <x v="19"/>
    <x v="0"/>
  </r>
  <r>
    <s v="SCH00080"/>
    <d v="2026-06-19T00:00:00"/>
    <s v="Friday"/>
    <s v="Historical"/>
    <x v="9"/>
    <s v="Night"/>
    <x v="7"/>
    <x v="7"/>
    <n v="12"/>
    <x v="32"/>
    <x v="0"/>
  </r>
  <r>
    <s v="SCH00081"/>
    <d v="2026-06-20T00:00:00"/>
    <s v="Saturday"/>
    <s v="Historical"/>
    <x v="0"/>
    <s v="Day"/>
    <x v="8"/>
    <x v="8"/>
    <n v="12"/>
    <x v="1"/>
    <x v="0"/>
  </r>
  <r>
    <s v="SCH00082"/>
    <d v="2026-06-20T00:00:00"/>
    <s v="Saturday"/>
    <s v="Historical"/>
    <x v="0"/>
    <s v="Night"/>
    <x v="9"/>
    <x v="9"/>
    <n v="12"/>
    <x v="0"/>
    <x v="0"/>
  </r>
  <r>
    <s v="SCH00083"/>
    <d v="2026-06-20T00:00:00"/>
    <s v="Saturday"/>
    <s v="Historical"/>
    <x v="1"/>
    <s v="Day"/>
    <x v="8"/>
    <x v="8"/>
    <n v="12"/>
    <x v="40"/>
    <x v="0"/>
  </r>
  <r>
    <s v="SCH00084"/>
    <d v="2026-06-20T00:00:00"/>
    <s v="Saturday"/>
    <s v="Historical"/>
    <x v="1"/>
    <s v="Night"/>
    <x v="9"/>
    <x v="9"/>
    <n v="12"/>
    <x v="21"/>
    <x v="0"/>
  </r>
  <r>
    <s v="SCH00085"/>
    <d v="2026-06-20T00:00:00"/>
    <s v="Saturday"/>
    <s v="Historical"/>
    <x v="2"/>
    <s v="Day"/>
    <x v="8"/>
    <x v="8"/>
    <n v="12"/>
    <x v="33"/>
    <x v="0"/>
  </r>
  <r>
    <s v="SCH00086"/>
    <d v="2026-06-20T00:00:00"/>
    <s v="Saturday"/>
    <s v="Historical"/>
    <x v="2"/>
    <s v="Night"/>
    <x v="9"/>
    <x v="9"/>
    <n v="12"/>
    <x v="5"/>
    <x v="0"/>
  </r>
  <r>
    <s v="SCH00087"/>
    <d v="2026-06-20T00:00:00"/>
    <s v="Saturday"/>
    <s v="Historical"/>
    <x v="3"/>
    <s v="Day"/>
    <x v="8"/>
    <x v="8"/>
    <n v="12"/>
    <x v="6"/>
    <x v="0"/>
  </r>
  <r>
    <s v="SCH00088"/>
    <d v="2026-06-20T00:00:00"/>
    <s v="Saturday"/>
    <s v="Historical"/>
    <x v="3"/>
    <s v="Night"/>
    <x v="9"/>
    <x v="9"/>
    <n v="12"/>
    <x v="38"/>
    <x v="0"/>
  </r>
  <r>
    <s v="SCH00089"/>
    <d v="2026-06-20T00:00:00"/>
    <s v="Saturday"/>
    <s v="Historical"/>
    <x v="4"/>
    <s v="Day"/>
    <x v="8"/>
    <x v="8"/>
    <n v="12"/>
    <x v="24"/>
    <x v="0"/>
  </r>
  <r>
    <s v="SCH00090"/>
    <d v="2026-06-20T00:00:00"/>
    <s v="Saturday"/>
    <s v="Historical"/>
    <x v="4"/>
    <s v="Night"/>
    <x v="9"/>
    <x v="9"/>
    <n v="12"/>
    <x v="9"/>
    <x v="0"/>
  </r>
  <r>
    <s v="SCH00091"/>
    <d v="2026-06-20T00:00:00"/>
    <s v="Saturday"/>
    <s v="Historical"/>
    <x v="5"/>
    <s v="Day"/>
    <x v="8"/>
    <x v="8"/>
    <n v="12"/>
    <x v="41"/>
    <x v="0"/>
  </r>
  <r>
    <s v="SCH00092"/>
    <d v="2026-06-20T00:00:00"/>
    <s v="Saturday"/>
    <s v="Historical"/>
    <x v="5"/>
    <s v="Night"/>
    <x v="9"/>
    <x v="9"/>
    <n v="12"/>
    <x v="25"/>
    <x v="0"/>
  </r>
  <r>
    <s v="SCH00093"/>
    <d v="2026-06-20T00:00:00"/>
    <s v="Saturday"/>
    <s v="Historical"/>
    <x v="6"/>
    <s v="Day"/>
    <x v="8"/>
    <x v="8"/>
    <n v="12"/>
    <x v="12"/>
    <x v="0"/>
  </r>
  <r>
    <s v="SCH00094"/>
    <d v="2026-06-20T00:00:00"/>
    <s v="Saturday"/>
    <s v="Historical"/>
    <x v="6"/>
    <s v="Night"/>
    <x v="9"/>
    <x v="9"/>
    <n v="12"/>
    <x v="35"/>
    <x v="0"/>
  </r>
  <r>
    <s v="SCH00095"/>
    <d v="2026-06-20T00:00:00"/>
    <s v="Saturday"/>
    <s v="Historical"/>
    <x v="7"/>
    <s v="Day"/>
    <x v="8"/>
    <x v="8"/>
    <n v="12"/>
    <x v="15"/>
    <x v="0"/>
  </r>
  <r>
    <s v="SCH00096"/>
    <d v="2026-06-20T00:00:00"/>
    <s v="Saturday"/>
    <s v="Historical"/>
    <x v="7"/>
    <s v="Night"/>
    <x v="9"/>
    <x v="9"/>
    <n v="12"/>
    <x v="29"/>
    <x v="0"/>
  </r>
  <r>
    <s v="SCH00097"/>
    <d v="2026-06-20T00:00:00"/>
    <s v="Saturday"/>
    <s v="Historical"/>
    <x v="8"/>
    <s v="Day"/>
    <x v="8"/>
    <x v="8"/>
    <n v="12"/>
    <x v="39"/>
    <x v="0"/>
  </r>
  <r>
    <s v="SCH00098"/>
    <d v="2026-06-20T00:00:00"/>
    <s v="Saturday"/>
    <s v="Historical"/>
    <x v="8"/>
    <s v="Night"/>
    <x v="9"/>
    <x v="9"/>
    <n v="12"/>
    <x v="17"/>
    <x v="0"/>
  </r>
  <r>
    <s v="SCH00099"/>
    <d v="2026-06-20T00:00:00"/>
    <s v="Saturday"/>
    <s v="Historical"/>
    <x v="9"/>
    <s v="Day"/>
    <x v="8"/>
    <x v="8"/>
    <n v="12"/>
    <x v="32"/>
    <x v="0"/>
  </r>
  <r>
    <s v="SCH00100"/>
    <d v="2026-06-20T00:00:00"/>
    <s v="Saturday"/>
    <s v="Historical"/>
    <x v="9"/>
    <s v="Night"/>
    <x v="9"/>
    <x v="9"/>
    <n v="12"/>
    <x v="42"/>
    <x v="0"/>
  </r>
  <r>
    <s v="SCH00101"/>
    <d v="2026-06-21T00:00:00"/>
    <s v="Sunday"/>
    <s v="Historical"/>
    <x v="0"/>
    <s v="Day"/>
    <x v="10"/>
    <x v="10"/>
    <n v="12"/>
    <x v="1"/>
    <x v="0"/>
  </r>
  <r>
    <s v="SCH00102"/>
    <d v="2026-06-21T00:00:00"/>
    <s v="Sunday"/>
    <s v="Historical"/>
    <x v="0"/>
    <s v="Night"/>
    <x v="11"/>
    <x v="11"/>
    <n v="12"/>
    <x v="0"/>
    <x v="0"/>
  </r>
  <r>
    <s v="SCH00103"/>
    <d v="2026-06-21T00:00:00"/>
    <s v="Sunday"/>
    <s v="Historical"/>
    <x v="1"/>
    <s v="Day"/>
    <x v="10"/>
    <x v="10"/>
    <n v="12"/>
    <x v="3"/>
    <x v="0"/>
  </r>
  <r>
    <s v="SCH00104"/>
    <d v="2026-06-21T00:00:00"/>
    <s v="Sunday"/>
    <s v="Historical"/>
    <x v="1"/>
    <s v="Night"/>
    <x v="11"/>
    <x v="11"/>
    <n v="12"/>
    <x v="40"/>
    <x v="0"/>
  </r>
  <r>
    <s v="SCH00105"/>
    <d v="2026-06-21T00:00:00"/>
    <s v="Sunday"/>
    <s v="Historical"/>
    <x v="2"/>
    <s v="Day"/>
    <x v="10"/>
    <x v="10"/>
    <n v="12"/>
    <x v="37"/>
    <x v="0"/>
  </r>
  <r>
    <s v="SCH00106"/>
    <d v="2026-06-21T00:00:00"/>
    <s v="Sunday"/>
    <s v="Historical"/>
    <x v="2"/>
    <s v="Night"/>
    <x v="11"/>
    <x v="11"/>
    <n v="12"/>
    <x v="33"/>
    <x v="0"/>
  </r>
  <r>
    <s v="SCH00107"/>
    <d v="2026-06-21T00:00:00"/>
    <s v="Sunday"/>
    <s v="Historical"/>
    <x v="3"/>
    <s v="Day"/>
    <x v="10"/>
    <x v="10"/>
    <n v="12"/>
    <x v="6"/>
    <x v="0"/>
  </r>
  <r>
    <s v="SCH00108"/>
    <d v="2026-06-21T00:00:00"/>
    <s v="Sunday"/>
    <s v="Historical"/>
    <x v="3"/>
    <s v="Night"/>
    <x v="11"/>
    <x v="11"/>
    <n v="12"/>
    <x v="7"/>
    <x v="0"/>
  </r>
  <r>
    <s v="SCH00109"/>
    <d v="2026-06-21T00:00:00"/>
    <s v="Sunday"/>
    <s v="Historical"/>
    <x v="4"/>
    <s v="Day"/>
    <x v="10"/>
    <x v="10"/>
    <n v="12"/>
    <x v="9"/>
    <x v="0"/>
  </r>
  <r>
    <s v="SCH00110"/>
    <d v="2026-06-21T00:00:00"/>
    <s v="Sunday"/>
    <s v="Historical"/>
    <x v="4"/>
    <s v="Night"/>
    <x v="11"/>
    <x v="11"/>
    <n v="12"/>
    <x v="43"/>
    <x v="0"/>
  </r>
  <r>
    <s v="SCH00111"/>
    <d v="2026-06-21T00:00:00"/>
    <s v="Sunday"/>
    <s v="Historical"/>
    <x v="5"/>
    <s v="Day"/>
    <x v="10"/>
    <x v="10"/>
    <n v="12"/>
    <x v="41"/>
    <x v="0"/>
  </r>
  <r>
    <s v="SCH00112"/>
    <d v="2026-06-21T00:00:00"/>
    <s v="Sunday"/>
    <s v="Historical"/>
    <x v="5"/>
    <s v="Night"/>
    <x v="11"/>
    <x v="11"/>
    <n v="12"/>
    <x v="25"/>
    <x v="0"/>
  </r>
  <r>
    <s v="SCH00113"/>
    <d v="2026-06-21T00:00:00"/>
    <s v="Sunday"/>
    <s v="Historical"/>
    <x v="6"/>
    <s v="Day"/>
    <x v="10"/>
    <x v="10"/>
    <n v="12"/>
    <x v="35"/>
    <x v="0"/>
  </r>
  <r>
    <s v="SCH00114"/>
    <d v="2026-06-21T00:00:00"/>
    <s v="Sunday"/>
    <s v="Historical"/>
    <x v="6"/>
    <s v="Night"/>
    <x v="11"/>
    <x v="11"/>
    <n v="12"/>
    <x v="36"/>
    <x v="0"/>
  </r>
  <r>
    <s v="SCH00115"/>
    <d v="2026-06-21T00:00:00"/>
    <s v="Sunday"/>
    <s v="Historical"/>
    <x v="7"/>
    <s v="Day"/>
    <x v="10"/>
    <x v="10"/>
    <n v="12"/>
    <x v="14"/>
    <x v="0"/>
  </r>
  <r>
    <s v="SCH00116"/>
    <d v="2026-06-21T00:00:00"/>
    <s v="Sunday"/>
    <s v="Historical"/>
    <x v="7"/>
    <s v="Night"/>
    <x v="11"/>
    <x v="11"/>
    <n v="12"/>
    <x v="29"/>
    <x v="0"/>
  </r>
  <r>
    <s v="SCH00117"/>
    <d v="2026-06-21T00:00:00"/>
    <s v="Sunday"/>
    <s v="Historical"/>
    <x v="8"/>
    <s v="Day"/>
    <x v="10"/>
    <x v="10"/>
    <n v="12"/>
    <x v="30"/>
    <x v="0"/>
  </r>
  <r>
    <s v="SCH00118"/>
    <d v="2026-06-21T00:00:00"/>
    <s v="Sunday"/>
    <s v="Historical"/>
    <x v="8"/>
    <s v="Night"/>
    <x v="11"/>
    <x v="11"/>
    <n v="12"/>
    <x v="17"/>
    <x v="0"/>
  </r>
  <r>
    <s v="SCH00119"/>
    <d v="2026-06-21T00:00:00"/>
    <s v="Sunday"/>
    <s v="Historical"/>
    <x v="9"/>
    <s v="Day"/>
    <x v="10"/>
    <x v="10"/>
    <n v="12"/>
    <x v="32"/>
    <x v="0"/>
  </r>
  <r>
    <s v="SCH00120"/>
    <d v="2026-06-21T00:00:00"/>
    <s v="Sunday"/>
    <s v="Historical"/>
    <x v="9"/>
    <s v="Night"/>
    <x v="11"/>
    <x v="11"/>
    <n v="12"/>
    <x v="18"/>
    <x v="0"/>
  </r>
  <r>
    <s v="SCH00121"/>
    <d v="2026-06-22T00:00:00"/>
    <s v="Monday"/>
    <s v="Historical"/>
    <x v="0"/>
    <s v="Day"/>
    <x v="12"/>
    <x v="12"/>
    <n v="12"/>
    <x v="1"/>
    <x v="0"/>
  </r>
  <r>
    <s v="SCH00122"/>
    <d v="2026-06-22T00:00:00"/>
    <s v="Monday"/>
    <s v="Historical"/>
    <x v="0"/>
    <s v="Night"/>
    <x v="13"/>
    <x v="13"/>
    <n v="12"/>
    <x v="20"/>
    <x v="0"/>
  </r>
  <r>
    <s v="SCH00123"/>
    <d v="2026-06-22T00:00:00"/>
    <s v="Monday"/>
    <s v="Historical"/>
    <x v="1"/>
    <s v="Day"/>
    <x v="12"/>
    <x v="12"/>
    <n v="12"/>
    <x v="2"/>
    <x v="0"/>
  </r>
  <r>
    <s v="SCH00124"/>
    <d v="2026-06-22T00:00:00"/>
    <s v="Monday"/>
    <s v="Historical"/>
    <x v="1"/>
    <s v="Night"/>
    <x v="13"/>
    <x v="13"/>
    <n v="12"/>
    <x v="40"/>
    <x v="0"/>
  </r>
  <r>
    <s v="SCH00125"/>
    <d v="2026-06-22T00:00:00"/>
    <s v="Monday"/>
    <s v="Historical"/>
    <x v="2"/>
    <s v="Day"/>
    <x v="12"/>
    <x v="12"/>
    <n v="12"/>
    <x v="37"/>
    <x v="0"/>
  </r>
  <r>
    <s v="SCH00126"/>
    <d v="2026-06-22T00:00:00"/>
    <s v="Monday"/>
    <s v="Historical"/>
    <x v="2"/>
    <s v="Night"/>
    <x v="13"/>
    <x v="13"/>
    <n v="12"/>
    <x v="4"/>
    <x v="0"/>
  </r>
  <r>
    <s v="SCH00127"/>
    <d v="2026-06-22T00:00:00"/>
    <s v="Monday"/>
    <s v="Historical"/>
    <x v="3"/>
    <s v="Day"/>
    <x v="12"/>
    <x v="12"/>
    <n v="12"/>
    <x v="7"/>
    <x v="0"/>
  </r>
  <r>
    <s v="SCH00128"/>
    <d v="2026-06-22T00:00:00"/>
    <s v="Monday"/>
    <s v="Historical"/>
    <x v="3"/>
    <s v="Night"/>
    <x v="13"/>
    <x v="13"/>
    <n v="12"/>
    <x v="23"/>
    <x v="0"/>
  </r>
  <r>
    <s v="SCH00129"/>
    <d v="2026-06-22T00:00:00"/>
    <s v="Monday"/>
    <s v="Historical"/>
    <x v="4"/>
    <s v="Day"/>
    <x v="12"/>
    <x v="12"/>
    <n v="12"/>
    <x v="8"/>
    <x v="0"/>
  </r>
  <r>
    <s v="SCH00130"/>
    <d v="2026-06-22T00:00:00"/>
    <s v="Monday"/>
    <s v="Historical"/>
    <x v="4"/>
    <s v="Night"/>
    <x v="13"/>
    <x v="13"/>
    <n v="12"/>
    <x v="43"/>
    <x v="0"/>
  </r>
  <r>
    <s v="SCH00131"/>
    <d v="2026-06-22T00:00:00"/>
    <s v="Monday"/>
    <s v="Historical"/>
    <x v="5"/>
    <s v="Day"/>
    <x v="12"/>
    <x v="12"/>
    <n v="12"/>
    <x v="10"/>
    <x v="0"/>
  </r>
  <r>
    <s v="SCH00132"/>
    <d v="2026-06-22T00:00:00"/>
    <s v="Monday"/>
    <s v="Historical"/>
    <x v="5"/>
    <s v="Night"/>
    <x v="13"/>
    <x v="13"/>
    <n v="12"/>
    <x v="26"/>
    <x v="0"/>
  </r>
  <r>
    <s v="SCH00133"/>
    <d v="2026-06-22T00:00:00"/>
    <s v="Monday"/>
    <s v="Historical"/>
    <x v="6"/>
    <s v="Day"/>
    <x v="12"/>
    <x v="12"/>
    <n v="12"/>
    <x v="12"/>
    <x v="0"/>
  </r>
  <r>
    <s v="SCH00134"/>
    <d v="2026-06-22T00:00:00"/>
    <s v="Monday"/>
    <s v="Historical"/>
    <x v="6"/>
    <s v="Night"/>
    <x v="13"/>
    <x v="13"/>
    <n v="12"/>
    <x v="27"/>
    <x v="0"/>
  </r>
  <r>
    <s v="SCH00135"/>
    <d v="2026-06-22T00:00:00"/>
    <s v="Monday"/>
    <s v="Historical"/>
    <x v="7"/>
    <s v="Day"/>
    <x v="12"/>
    <x v="12"/>
    <n v="12"/>
    <x v="28"/>
    <x v="0"/>
  </r>
  <r>
    <s v="SCH00136"/>
    <d v="2026-06-22T00:00:00"/>
    <s v="Monday"/>
    <s v="Historical"/>
    <x v="7"/>
    <s v="Night"/>
    <x v="13"/>
    <x v="13"/>
    <n v="12"/>
    <x v="15"/>
    <x v="0"/>
  </r>
  <r>
    <s v="SCH00137"/>
    <d v="2026-06-22T00:00:00"/>
    <s v="Monday"/>
    <s v="Historical"/>
    <x v="8"/>
    <s v="Day"/>
    <x v="12"/>
    <x v="12"/>
    <n v="12"/>
    <x v="39"/>
    <x v="0"/>
  </r>
  <r>
    <s v="SCH00138"/>
    <d v="2026-06-22T00:00:00"/>
    <s v="Monday"/>
    <s v="Historical"/>
    <x v="8"/>
    <s v="Night"/>
    <x v="13"/>
    <x v="13"/>
    <n v="12"/>
    <x v="16"/>
    <x v="0"/>
  </r>
  <r>
    <s v="SCH00139"/>
    <d v="2026-06-22T00:00:00"/>
    <s v="Monday"/>
    <s v="Historical"/>
    <x v="9"/>
    <s v="Day"/>
    <x v="12"/>
    <x v="12"/>
    <n v="12"/>
    <x v="42"/>
    <x v="0"/>
  </r>
  <r>
    <s v="SCH00140"/>
    <d v="2026-06-22T00:00:00"/>
    <s v="Monday"/>
    <s v="Historical"/>
    <x v="9"/>
    <s v="Night"/>
    <x v="13"/>
    <x v="13"/>
    <n v="12"/>
    <x v="31"/>
    <x v="0"/>
  </r>
  <r>
    <s v="SCH00141"/>
    <d v="2026-06-23T00:00:00"/>
    <s v="Tuesday"/>
    <s v="Historical"/>
    <x v="0"/>
    <s v="Day"/>
    <x v="14"/>
    <x v="14"/>
    <n v="12"/>
    <x v="20"/>
    <x v="0"/>
  </r>
  <r>
    <s v="SCH00142"/>
    <d v="2026-06-23T00:00:00"/>
    <s v="Tuesday"/>
    <s v="Historical"/>
    <x v="0"/>
    <s v="Night"/>
    <x v="15"/>
    <x v="15"/>
    <n v="12"/>
    <x v="1"/>
    <x v="0"/>
  </r>
  <r>
    <s v="SCH00143"/>
    <d v="2026-06-23T00:00:00"/>
    <s v="Tuesday"/>
    <s v="Historical"/>
    <x v="1"/>
    <s v="Day"/>
    <x v="14"/>
    <x v="14"/>
    <n v="12"/>
    <x v="2"/>
    <x v="0"/>
  </r>
  <r>
    <s v="SCH00144"/>
    <d v="2026-06-23T00:00:00"/>
    <s v="Tuesday"/>
    <s v="Historical"/>
    <x v="1"/>
    <s v="Night"/>
    <x v="15"/>
    <x v="15"/>
    <n v="12"/>
    <x v="3"/>
    <x v="0"/>
  </r>
  <r>
    <s v="SCH00145"/>
    <d v="2026-06-23T00:00:00"/>
    <s v="Tuesday"/>
    <s v="Historical"/>
    <x v="2"/>
    <s v="Day"/>
    <x v="14"/>
    <x v="14"/>
    <n v="12"/>
    <x v="33"/>
    <x v="0"/>
  </r>
  <r>
    <s v="SCH00146"/>
    <d v="2026-06-23T00:00:00"/>
    <s v="Tuesday"/>
    <s v="Historical"/>
    <x v="2"/>
    <s v="Night"/>
    <x v="15"/>
    <x v="15"/>
    <n v="12"/>
    <x v="22"/>
    <x v="0"/>
  </r>
  <r>
    <s v="SCH00147"/>
    <d v="2026-06-23T00:00:00"/>
    <s v="Tuesday"/>
    <s v="Historical"/>
    <x v="3"/>
    <s v="Day"/>
    <x v="14"/>
    <x v="14"/>
    <n v="12"/>
    <x v="7"/>
    <x v="0"/>
  </r>
  <r>
    <s v="SCH00148"/>
    <d v="2026-06-23T00:00:00"/>
    <s v="Tuesday"/>
    <s v="Historical"/>
    <x v="3"/>
    <s v="Night"/>
    <x v="15"/>
    <x v="15"/>
    <n v="12"/>
    <x v="34"/>
    <x v="0"/>
  </r>
  <r>
    <s v="SCH00149"/>
    <d v="2026-06-23T00:00:00"/>
    <s v="Tuesday"/>
    <s v="Historical"/>
    <x v="4"/>
    <s v="Day"/>
    <x v="14"/>
    <x v="14"/>
    <n v="12"/>
    <x v="24"/>
    <x v="0"/>
  </r>
  <r>
    <s v="SCH00150"/>
    <d v="2026-06-23T00:00:00"/>
    <s v="Tuesday"/>
    <s v="Historical"/>
    <x v="4"/>
    <s v="Night"/>
    <x v="15"/>
    <x v="15"/>
    <n v="12"/>
    <x v="8"/>
    <x v="0"/>
  </r>
  <r>
    <s v="SCH00151"/>
    <d v="2026-06-23T00:00:00"/>
    <s v="Tuesday"/>
    <s v="Historical"/>
    <x v="5"/>
    <s v="Day"/>
    <x v="14"/>
    <x v="14"/>
    <n v="12"/>
    <x v="11"/>
    <x v="0"/>
  </r>
  <r>
    <s v="SCH00152"/>
    <d v="2026-06-23T00:00:00"/>
    <s v="Tuesday"/>
    <s v="Historical"/>
    <x v="5"/>
    <s v="Night"/>
    <x v="15"/>
    <x v="15"/>
    <n v="12"/>
    <x v="41"/>
    <x v="0"/>
  </r>
  <r>
    <s v="SCH00153"/>
    <d v="2026-06-23T00:00:00"/>
    <s v="Tuesday"/>
    <s v="Historical"/>
    <x v="6"/>
    <s v="Day"/>
    <x v="14"/>
    <x v="14"/>
    <n v="12"/>
    <x v="27"/>
    <x v="0"/>
  </r>
  <r>
    <s v="SCH00154"/>
    <d v="2026-06-23T00:00:00"/>
    <s v="Tuesday"/>
    <s v="Historical"/>
    <x v="6"/>
    <s v="Night"/>
    <x v="15"/>
    <x v="15"/>
    <n v="12"/>
    <x v="13"/>
    <x v="0"/>
  </r>
  <r>
    <s v="SCH00155"/>
    <d v="2026-06-23T00:00:00"/>
    <s v="Tuesday"/>
    <s v="Historical"/>
    <x v="7"/>
    <s v="Day"/>
    <x v="14"/>
    <x v="14"/>
    <n v="12"/>
    <x v="29"/>
    <x v="0"/>
  </r>
  <r>
    <s v="SCH00156"/>
    <d v="2026-06-23T00:00:00"/>
    <s v="Tuesday"/>
    <s v="Historical"/>
    <x v="7"/>
    <s v="Night"/>
    <x v="15"/>
    <x v="15"/>
    <n v="12"/>
    <x v="15"/>
    <x v="0"/>
  </r>
  <r>
    <s v="SCH00157"/>
    <d v="2026-06-23T00:00:00"/>
    <s v="Tuesday"/>
    <s v="Historical"/>
    <x v="8"/>
    <s v="Day"/>
    <x v="14"/>
    <x v="14"/>
    <n v="12"/>
    <x v="17"/>
    <x v="0"/>
  </r>
  <r>
    <s v="SCH00158"/>
    <d v="2026-06-23T00:00:00"/>
    <s v="Tuesday"/>
    <s v="Historical"/>
    <x v="8"/>
    <s v="Night"/>
    <x v="15"/>
    <x v="15"/>
    <n v="12"/>
    <x v="44"/>
    <x v="0"/>
  </r>
  <r>
    <s v="SCH00159"/>
    <d v="2026-06-23T00:00:00"/>
    <s v="Tuesday"/>
    <s v="Historical"/>
    <x v="9"/>
    <s v="Day"/>
    <x v="14"/>
    <x v="14"/>
    <n v="12"/>
    <x v="18"/>
    <x v="0"/>
  </r>
  <r>
    <s v="SCH00160"/>
    <d v="2026-06-23T00:00:00"/>
    <s v="Tuesday"/>
    <s v="Historical"/>
    <x v="9"/>
    <s v="Night"/>
    <x v="15"/>
    <x v="15"/>
    <n v="12"/>
    <x v="31"/>
    <x v="0"/>
  </r>
  <r>
    <s v="SCH00161"/>
    <d v="2026-06-24T00:00:00"/>
    <s v="Wednesday"/>
    <s v="Historical"/>
    <x v="0"/>
    <s v="Day"/>
    <x v="16"/>
    <x v="16"/>
    <n v="12"/>
    <x v="0"/>
    <x v="0"/>
  </r>
  <r>
    <s v="SCH00162"/>
    <d v="2026-06-24T00:00:00"/>
    <s v="Wednesday"/>
    <s v="Historical"/>
    <x v="0"/>
    <s v="Night"/>
    <x v="17"/>
    <x v="17"/>
    <n v="12"/>
    <x v="20"/>
    <x v="0"/>
  </r>
  <r>
    <s v="SCH00163"/>
    <d v="2026-06-24T00:00:00"/>
    <s v="Wednesday"/>
    <s v="Historical"/>
    <x v="1"/>
    <s v="Day"/>
    <x v="16"/>
    <x v="16"/>
    <n v="12"/>
    <x v="2"/>
    <x v="0"/>
  </r>
  <r>
    <s v="SCH00164"/>
    <d v="2026-06-24T00:00:00"/>
    <s v="Wednesday"/>
    <s v="Historical"/>
    <x v="1"/>
    <s v="Night"/>
    <x v="17"/>
    <x v="17"/>
    <n v="12"/>
    <x v="21"/>
    <x v="0"/>
  </r>
  <r>
    <s v="SCH00165"/>
    <d v="2026-06-24T00:00:00"/>
    <s v="Wednesday"/>
    <s v="Historical"/>
    <x v="2"/>
    <s v="Day"/>
    <x v="16"/>
    <x v="16"/>
    <n v="12"/>
    <x v="37"/>
    <x v="0"/>
  </r>
  <r>
    <s v="SCH00166"/>
    <d v="2026-06-24T00:00:00"/>
    <s v="Wednesday"/>
    <s v="Historical"/>
    <x v="2"/>
    <s v="Night"/>
    <x v="17"/>
    <x v="17"/>
    <n v="12"/>
    <x v="4"/>
    <x v="0"/>
  </r>
  <r>
    <s v="SCH00167"/>
    <d v="2026-06-24T00:00:00"/>
    <s v="Wednesday"/>
    <s v="Historical"/>
    <x v="3"/>
    <s v="Day"/>
    <x v="16"/>
    <x v="16"/>
    <n v="12"/>
    <x v="38"/>
    <x v="0"/>
  </r>
  <r>
    <s v="SCH00168"/>
    <d v="2026-06-24T00:00:00"/>
    <s v="Wednesday"/>
    <s v="Historical"/>
    <x v="3"/>
    <s v="Night"/>
    <x v="17"/>
    <x v="17"/>
    <n v="12"/>
    <x v="6"/>
    <x v="0"/>
  </r>
  <r>
    <s v="SCH00169"/>
    <d v="2026-06-24T00:00:00"/>
    <s v="Wednesday"/>
    <s v="Historical"/>
    <x v="4"/>
    <s v="Day"/>
    <x v="16"/>
    <x v="16"/>
    <n v="12"/>
    <x v="24"/>
    <x v="0"/>
  </r>
  <r>
    <s v="SCH00170"/>
    <d v="2026-06-24T00:00:00"/>
    <s v="Wednesday"/>
    <s v="Historical"/>
    <x v="4"/>
    <s v="Night"/>
    <x v="17"/>
    <x v="17"/>
    <n v="12"/>
    <x v="9"/>
    <x v="0"/>
  </r>
  <r>
    <s v="SCH00171"/>
    <d v="2026-06-24T00:00:00"/>
    <s v="Wednesday"/>
    <s v="Historical"/>
    <x v="5"/>
    <s v="Day"/>
    <x v="16"/>
    <x v="16"/>
    <n v="12"/>
    <x v="41"/>
    <x v="0"/>
  </r>
  <r>
    <s v="SCH00172"/>
    <d v="2026-06-24T00:00:00"/>
    <s v="Wednesday"/>
    <s v="Historical"/>
    <x v="5"/>
    <s v="Night"/>
    <x v="17"/>
    <x v="17"/>
    <n v="12"/>
    <x v="26"/>
    <x v="0"/>
  </r>
  <r>
    <s v="SCH00173"/>
    <d v="2026-06-24T00:00:00"/>
    <s v="Wednesday"/>
    <s v="Historical"/>
    <x v="6"/>
    <s v="Day"/>
    <x v="16"/>
    <x v="16"/>
    <n v="12"/>
    <x v="12"/>
    <x v="0"/>
  </r>
  <r>
    <s v="SCH00174"/>
    <d v="2026-06-24T00:00:00"/>
    <s v="Wednesday"/>
    <s v="Historical"/>
    <x v="6"/>
    <s v="Night"/>
    <x v="17"/>
    <x v="17"/>
    <n v="12"/>
    <x v="13"/>
    <x v="0"/>
  </r>
  <r>
    <s v="SCH00175"/>
    <d v="2026-06-24T00:00:00"/>
    <s v="Wednesday"/>
    <s v="Historical"/>
    <x v="7"/>
    <s v="Day"/>
    <x v="16"/>
    <x v="16"/>
    <n v="12"/>
    <x v="15"/>
    <x v="0"/>
  </r>
  <r>
    <s v="SCH00176"/>
    <d v="2026-06-24T00:00:00"/>
    <s v="Wednesday"/>
    <s v="Historical"/>
    <x v="7"/>
    <s v="Night"/>
    <x v="17"/>
    <x v="17"/>
    <n v="12"/>
    <x v="28"/>
    <x v="0"/>
  </r>
  <r>
    <s v="SCH00177"/>
    <d v="2026-06-24T00:00:00"/>
    <s v="Wednesday"/>
    <s v="Historical"/>
    <x v="8"/>
    <s v="Day"/>
    <x v="16"/>
    <x v="16"/>
    <n v="12"/>
    <x v="44"/>
    <x v="0"/>
  </r>
  <r>
    <s v="SCH00178"/>
    <d v="2026-06-24T00:00:00"/>
    <s v="Wednesday"/>
    <s v="Historical"/>
    <x v="8"/>
    <s v="Night"/>
    <x v="17"/>
    <x v="17"/>
    <n v="12"/>
    <x v="16"/>
    <x v="0"/>
  </r>
  <r>
    <s v="SCH00179"/>
    <d v="2026-06-24T00:00:00"/>
    <s v="Wednesday"/>
    <s v="Historical"/>
    <x v="9"/>
    <s v="Day"/>
    <x v="16"/>
    <x v="16"/>
    <n v="12"/>
    <x v="19"/>
    <x v="0"/>
  </r>
  <r>
    <s v="SCH00180"/>
    <d v="2026-06-24T00:00:00"/>
    <s v="Wednesday"/>
    <s v="Historical"/>
    <x v="9"/>
    <s v="Night"/>
    <x v="17"/>
    <x v="17"/>
    <n v="12"/>
    <x v="32"/>
    <x v="0"/>
  </r>
  <r>
    <s v="SCH00181"/>
    <d v="2026-06-25T00:00:00"/>
    <s v="Thursday"/>
    <s v="Historical"/>
    <x v="0"/>
    <s v="Day"/>
    <x v="18"/>
    <x v="18"/>
    <n v="12"/>
    <x v="0"/>
    <x v="0"/>
  </r>
  <r>
    <s v="SCH00182"/>
    <d v="2026-06-25T00:00:00"/>
    <s v="Thursday"/>
    <s v="Historical"/>
    <x v="0"/>
    <s v="Night"/>
    <x v="19"/>
    <x v="19"/>
    <n v="12"/>
    <x v="20"/>
    <x v="0"/>
  </r>
  <r>
    <s v="SCH00183"/>
    <d v="2026-06-25T00:00:00"/>
    <s v="Thursday"/>
    <s v="Historical"/>
    <x v="1"/>
    <s v="Day"/>
    <x v="18"/>
    <x v="18"/>
    <n v="12"/>
    <x v="3"/>
    <x v="0"/>
  </r>
  <r>
    <s v="SCH00184"/>
    <d v="2026-06-25T00:00:00"/>
    <s v="Thursday"/>
    <s v="Historical"/>
    <x v="1"/>
    <s v="Night"/>
    <x v="19"/>
    <x v="19"/>
    <n v="12"/>
    <x v="40"/>
    <x v="0"/>
  </r>
  <r>
    <s v="SCH00185"/>
    <d v="2026-06-25T00:00:00"/>
    <s v="Thursday"/>
    <s v="Historical"/>
    <x v="2"/>
    <s v="Day"/>
    <x v="18"/>
    <x v="18"/>
    <n v="12"/>
    <x v="5"/>
    <x v="0"/>
  </r>
  <r>
    <s v="SCH00186"/>
    <d v="2026-06-25T00:00:00"/>
    <s v="Thursday"/>
    <s v="Historical"/>
    <x v="2"/>
    <s v="Night"/>
    <x v="19"/>
    <x v="19"/>
    <n v="12"/>
    <x v="4"/>
    <x v="0"/>
  </r>
  <r>
    <s v="SCH00187"/>
    <d v="2026-06-25T00:00:00"/>
    <s v="Thursday"/>
    <s v="Historical"/>
    <x v="3"/>
    <s v="Day"/>
    <x v="18"/>
    <x v="18"/>
    <n v="12"/>
    <x v="23"/>
    <x v="0"/>
  </r>
  <r>
    <s v="SCH00188"/>
    <d v="2026-06-25T00:00:00"/>
    <s v="Thursday"/>
    <s v="Historical"/>
    <x v="3"/>
    <s v="Night"/>
    <x v="19"/>
    <x v="19"/>
    <n v="12"/>
    <x v="6"/>
    <x v="0"/>
  </r>
  <r>
    <s v="SCH00189"/>
    <d v="2026-06-25T00:00:00"/>
    <s v="Thursday"/>
    <s v="Historical"/>
    <x v="4"/>
    <s v="Day"/>
    <x v="18"/>
    <x v="18"/>
    <n v="12"/>
    <x v="24"/>
    <x v="0"/>
  </r>
  <r>
    <s v="SCH00190"/>
    <d v="2026-06-25T00:00:00"/>
    <s v="Thursday"/>
    <s v="Historical"/>
    <x v="4"/>
    <s v="Night"/>
    <x v="19"/>
    <x v="19"/>
    <n v="12"/>
    <x v="43"/>
    <x v="0"/>
  </r>
  <r>
    <s v="SCH00191"/>
    <d v="2026-06-25T00:00:00"/>
    <s v="Thursday"/>
    <s v="Historical"/>
    <x v="5"/>
    <s v="Day"/>
    <x v="18"/>
    <x v="18"/>
    <n v="12"/>
    <x v="25"/>
    <x v="0"/>
  </r>
  <r>
    <s v="SCH00192"/>
    <d v="2026-06-25T00:00:00"/>
    <s v="Thursday"/>
    <s v="Historical"/>
    <x v="5"/>
    <s v="Night"/>
    <x v="19"/>
    <x v="19"/>
    <n v="12"/>
    <x v="11"/>
    <x v="0"/>
  </r>
  <r>
    <s v="SCH00193"/>
    <d v="2026-06-25T00:00:00"/>
    <s v="Thursday"/>
    <s v="Historical"/>
    <x v="6"/>
    <s v="Day"/>
    <x v="18"/>
    <x v="18"/>
    <n v="12"/>
    <x v="12"/>
    <x v="0"/>
  </r>
  <r>
    <s v="SCH00194"/>
    <d v="2026-06-25T00:00:00"/>
    <s v="Thursday"/>
    <s v="Historical"/>
    <x v="6"/>
    <s v="Night"/>
    <x v="19"/>
    <x v="19"/>
    <n v="12"/>
    <x v="27"/>
    <x v="0"/>
  </r>
  <r>
    <s v="SCH00195"/>
    <d v="2026-06-25T00:00:00"/>
    <s v="Thursday"/>
    <s v="Historical"/>
    <x v="7"/>
    <s v="Day"/>
    <x v="18"/>
    <x v="18"/>
    <n v="12"/>
    <x v="28"/>
    <x v="0"/>
  </r>
  <r>
    <s v="SCH00196"/>
    <d v="2026-06-25T00:00:00"/>
    <s v="Thursday"/>
    <s v="Historical"/>
    <x v="7"/>
    <s v="Night"/>
    <x v="19"/>
    <x v="19"/>
    <n v="12"/>
    <x v="15"/>
    <x v="0"/>
  </r>
  <r>
    <s v="SCH00197"/>
    <d v="2026-06-25T00:00:00"/>
    <s v="Thursday"/>
    <s v="Historical"/>
    <x v="8"/>
    <s v="Day"/>
    <x v="18"/>
    <x v="18"/>
    <n v="12"/>
    <x v="44"/>
    <x v="0"/>
  </r>
  <r>
    <s v="SCH00198"/>
    <d v="2026-06-25T00:00:00"/>
    <s v="Thursday"/>
    <s v="Historical"/>
    <x v="8"/>
    <s v="Night"/>
    <x v="19"/>
    <x v="19"/>
    <n v="12"/>
    <x v="17"/>
    <x v="0"/>
  </r>
  <r>
    <s v="SCH00199"/>
    <d v="2026-06-25T00:00:00"/>
    <s v="Thursday"/>
    <s v="Historical"/>
    <x v="9"/>
    <s v="Day"/>
    <x v="18"/>
    <x v="18"/>
    <n v="12"/>
    <x v="31"/>
    <x v="0"/>
  </r>
  <r>
    <s v="SCH00200"/>
    <d v="2026-06-25T00:00:00"/>
    <s v="Thursday"/>
    <s v="Historical"/>
    <x v="9"/>
    <s v="Night"/>
    <x v="19"/>
    <x v="19"/>
    <n v="12"/>
    <x v="42"/>
    <x v="0"/>
  </r>
  <r>
    <s v="SCH00201"/>
    <d v="2026-06-26T00:00:00"/>
    <s v="Friday"/>
    <s v="Historical"/>
    <x v="0"/>
    <s v="Day"/>
    <x v="20"/>
    <x v="20"/>
    <n v="12"/>
    <x v="1"/>
    <x v="0"/>
  </r>
  <r>
    <s v="SCH00202"/>
    <d v="2026-06-26T00:00:00"/>
    <s v="Friday"/>
    <s v="Historical"/>
    <x v="0"/>
    <s v="Night"/>
    <x v="21"/>
    <x v="21"/>
    <n v="12"/>
    <x v="0"/>
    <x v="0"/>
  </r>
  <r>
    <s v="SCH00203"/>
    <d v="2026-06-26T00:00:00"/>
    <s v="Friday"/>
    <s v="Historical"/>
    <x v="1"/>
    <s v="Day"/>
    <x v="20"/>
    <x v="20"/>
    <n v="12"/>
    <x v="3"/>
    <x v="0"/>
  </r>
  <r>
    <s v="SCH00204"/>
    <d v="2026-06-26T00:00:00"/>
    <s v="Friday"/>
    <s v="Historical"/>
    <x v="1"/>
    <s v="Night"/>
    <x v="21"/>
    <x v="21"/>
    <n v="12"/>
    <x v="21"/>
    <x v="0"/>
  </r>
  <r>
    <s v="SCH00205"/>
    <d v="2026-06-26T00:00:00"/>
    <s v="Friday"/>
    <s v="Historical"/>
    <x v="2"/>
    <s v="Day"/>
    <x v="20"/>
    <x v="20"/>
    <n v="12"/>
    <x v="37"/>
    <x v="0"/>
  </r>
  <r>
    <s v="SCH00206"/>
    <d v="2026-06-26T00:00:00"/>
    <s v="Friday"/>
    <s v="Historical"/>
    <x v="2"/>
    <s v="Night"/>
    <x v="21"/>
    <x v="21"/>
    <n v="12"/>
    <x v="22"/>
    <x v="0"/>
  </r>
  <r>
    <s v="SCH00207"/>
    <d v="2026-06-26T00:00:00"/>
    <s v="Friday"/>
    <s v="Historical"/>
    <x v="3"/>
    <s v="Day"/>
    <x v="20"/>
    <x v="20"/>
    <n v="12"/>
    <x v="6"/>
    <x v="0"/>
  </r>
  <r>
    <s v="SCH00208"/>
    <d v="2026-06-26T00:00:00"/>
    <s v="Friday"/>
    <s v="Historical"/>
    <x v="3"/>
    <s v="Night"/>
    <x v="21"/>
    <x v="21"/>
    <n v="12"/>
    <x v="7"/>
    <x v="0"/>
  </r>
  <r>
    <s v="SCH00209"/>
    <d v="2026-06-26T00:00:00"/>
    <s v="Friday"/>
    <s v="Historical"/>
    <x v="4"/>
    <s v="Day"/>
    <x v="20"/>
    <x v="20"/>
    <n v="12"/>
    <x v="8"/>
    <x v="0"/>
  </r>
  <r>
    <s v="SCH00210"/>
    <d v="2026-06-26T00:00:00"/>
    <s v="Friday"/>
    <s v="Historical"/>
    <x v="4"/>
    <s v="Night"/>
    <x v="21"/>
    <x v="21"/>
    <n v="12"/>
    <x v="9"/>
    <x v="0"/>
  </r>
  <r>
    <s v="SCH00211"/>
    <d v="2026-06-26T00:00:00"/>
    <s v="Friday"/>
    <s v="Historical"/>
    <x v="5"/>
    <s v="Day"/>
    <x v="20"/>
    <x v="20"/>
    <n v="12"/>
    <x v="11"/>
    <x v="0"/>
  </r>
  <r>
    <s v="SCH00212"/>
    <d v="2026-06-26T00:00:00"/>
    <s v="Friday"/>
    <s v="Historical"/>
    <x v="5"/>
    <s v="Night"/>
    <x v="21"/>
    <x v="21"/>
    <n v="12"/>
    <x v="10"/>
    <x v="0"/>
  </r>
  <r>
    <s v="SCH00213"/>
    <d v="2026-06-26T00:00:00"/>
    <s v="Friday"/>
    <s v="Historical"/>
    <x v="6"/>
    <s v="Day"/>
    <x v="20"/>
    <x v="20"/>
    <n v="12"/>
    <x v="12"/>
    <x v="0"/>
  </r>
  <r>
    <s v="SCH00214"/>
    <d v="2026-06-26T00:00:00"/>
    <s v="Friday"/>
    <s v="Historical"/>
    <x v="6"/>
    <s v="Night"/>
    <x v="21"/>
    <x v="21"/>
    <n v="12"/>
    <x v="35"/>
    <x v="0"/>
  </r>
  <r>
    <s v="SCH00215"/>
    <d v="2026-06-26T00:00:00"/>
    <s v="Friday"/>
    <s v="Historical"/>
    <x v="7"/>
    <s v="Day"/>
    <x v="20"/>
    <x v="20"/>
    <n v="12"/>
    <x v="28"/>
    <x v="0"/>
  </r>
  <r>
    <s v="SCH00216"/>
    <d v="2026-06-26T00:00:00"/>
    <s v="Friday"/>
    <s v="Historical"/>
    <x v="7"/>
    <s v="Night"/>
    <x v="21"/>
    <x v="21"/>
    <n v="12"/>
    <x v="15"/>
    <x v="0"/>
  </r>
  <r>
    <s v="SCH00217"/>
    <d v="2026-06-26T00:00:00"/>
    <s v="Friday"/>
    <s v="Historical"/>
    <x v="8"/>
    <s v="Day"/>
    <x v="20"/>
    <x v="20"/>
    <n v="12"/>
    <x v="44"/>
    <x v="0"/>
  </r>
  <r>
    <s v="SCH00218"/>
    <d v="2026-06-26T00:00:00"/>
    <s v="Friday"/>
    <s v="Historical"/>
    <x v="8"/>
    <s v="Night"/>
    <x v="21"/>
    <x v="21"/>
    <n v="12"/>
    <x v="30"/>
    <x v="0"/>
  </r>
  <r>
    <s v="SCH00219"/>
    <d v="2026-06-26T00:00:00"/>
    <s v="Friday"/>
    <s v="Historical"/>
    <x v="9"/>
    <s v="Day"/>
    <x v="20"/>
    <x v="20"/>
    <n v="12"/>
    <x v="31"/>
    <x v="0"/>
  </r>
  <r>
    <s v="SCH00220"/>
    <d v="2026-06-26T00:00:00"/>
    <s v="Friday"/>
    <s v="Historical"/>
    <x v="9"/>
    <s v="Night"/>
    <x v="21"/>
    <x v="21"/>
    <n v="12"/>
    <x v="42"/>
    <x v="0"/>
  </r>
  <r>
    <s v="SCH00221"/>
    <d v="2026-06-27T00:00:00"/>
    <s v="Saturday"/>
    <s v="Historical"/>
    <x v="0"/>
    <s v="Day"/>
    <x v="22"/>
    <x v="22"/>
    <n v="12"/>
    <x v="1"/>
    <x v="0"/>
  </r>
  <r>
    <s v="SCH00222"/>
    <d v="2026-06-27T00:00:00"/>
    <s v="Saturday"/>
    <s v="Historical"/>
    <x v="0"/>
    <s v="Night"/>
    <x v="23"/>
    <x v="23"/>
    <n v="12"/>
    <x v="20"/>
    <x v="0"/>
  </r>
  <r>
    <s v="SCH00223"/>
    <d v="2026-06-27T00:00:00"/>
    <s v="Saturday"/>
    <s v="Historical"/>
    <x v="1"/>
    <s v="Day"/>
    <x v="22"/>
    <x v="22"/>
    <n v="12"/>
    <x v="3"/>
    <x v="0"/>
  </r>
  <r>
    <s v="SCH00224"/>
    <d v="2026-06-27T00:00:00"/>
    <s v="Saturday"/>
    <s v="Historical"/>
    <x v="1"/>
    <s v="Night"/>
    <x v="23"/>
    <x v="23"/>
    <n v="12"/>
    <x v="2"/>
    <x v="0"/>
  </r>
  <r>
    <s v="SCH00225"/>
    <d v="2026-06-27T00:00:00"/>
    <s v="Saturday"/>
    <s v="Historical"/>
    <x v="2"/>
    <s v="Day"/>
    <x v="22"/>
    <x v="22"/>
    <n v="12"/>
    <x v="22"/>
    <x v="0"/>
  </r>
  <r>
    <s v="SCH00226"/>
    <d v="2026-06-27T00:00:00"/>
    <s v="Saturday"/>
    <s v="Historical"/>
    <x v="2"/>
    <s v="Night"/>
    <x v="23"/>
    <x v="23"/>
    <n v="12"/>
    <x v="33"/>
    <x v="0"/>
  </r>
  <r>
    <s v="SCH00227"/>
    <d v="2026-06-27T00:00:00"/>
    <s v="Saturday"/>
    <s v="Historical"/>
    <x v="3"/>
    <s v="Day"/>
    <x v="22"/>
    <x v="22"/>
    <n v="12"/>
    <x v="38"/>
    <x v="0"/>
  </r>
  <r>
    <s v="SCH00228"/>
    <d v="2026-06-27T00:00:00"/>
    <s v="Saturday"/>
    <s v="Historical"/>
    <x v="3"/>
    <s v="Night"/>
    <x v="23"/>
    <x v="23"/>
    <n v="12"/>
    <x v="23"/>
    <x v="0"/>
  </r>
  <r>
    <s v="SCH00229"/>
    <d v="2026-06-27T00:00:00"/>
    <s v="Saturday"/>
    <s v="Historical"/>
    <x v="4"/>
    <s v="Day"/>
    <x v="22"/>
    <x v="22"/>
    <n v="12"/>
    <x v="9"/>
    <x v="0"/>
  </r>
  <r>
    <s v="SCH00230"/>
    <d v="2026-06-27T00:00:00"/>
    <s v="Saturday"/>
    <s v="Historical"/>
    <x v="4"/>
    <s v="Night"/>
    <x v="23"/>
    <x v="23"/>
    <n v="12"/>
    <x v="24"/>
    <x v="0"/>
  </r>
  <r>
    <s v="SCH00231"/>
    <d v="2026-06-27T00:00:00"/>
    <s v="Saturday"/>
    <s v="Historical"/>
    <x v="5"/>
    <s v="Day"/>
    <x v="22"/>
    <x v="22"/>
    <n v="12"/>
    <x v="26"/>
    <x v="0"/>
  </r>
  <r>
    <s v="SCH00232"/>
    <d v="2026-06-27T00:00:00"/>
    <s v="Saturday"/>
    <s v="Historical"/>
    <x v="5"/>
    <s v="Night"/>
    <x v="23"/>
    <x v="23"/>
    <n v="12"/>
    <x v="41"/>
    <x v="0"/>
  </r>
  <r>
    <s v="SCH00233"/>
    <d v="2026-06-27T00:00:00"/>
    <s v="Saturday"/>
    <s v="Historical"/>
    <x v="6"/>
    <s v="Day"/>
    <x v="22"/>
    <x v="22"/>
    <n v="12"/>
    <x v="12"/>
    <x v="0"/>
  </r>
  <r>
    <s v="SCH00234"/>
    <d v="2026-06-27T00:00:00"/>
    <s v="Saturday"/>
    <s v="Historical"/>
    <x v="6"/>
    <s v="Night"/>
    <x v="23"/>
    <x v="23"/>
    <n v="12"/>
    <x v="27"/>
    <x v="0"/>
  </r>
  <r>
    <s v="SCH00235"/>
    <d v="2026-06-27T00:00:00"/>
    <s v="Saturday"/>
    <s v="Historical"/>
    <x v="7"/>
    <s v="Day"/>
    <x v="22"/>
    <x v="22"/>
    <n v="12"/>
    <x v="15"/>
    <x v="0"/>
  </r>
  <r>
    <s v="SCH00236"/>
    <d v="2026-06-27T00:00:00"/>
    <s v="Saturday"/>
    <s v="Historical"/>
    <x v="7"/>
    <s v="Night"/>
    <x v="23"/>
    <x v="23"/>
    <n v="12"/>
    <x v="29"/>
    <x v="0"/>
  </r>
  <r>
    <s v="SCH00237"/>
    <d v="2026-06-27T00:00:00"/>
    <s v="Saturday"/>
    <s v="Historical"/>
    <x v="8"/>
    <s v="Day"/>
    <x v="22"/>
    <x v="22"/>
    <n v="12"/>
    <x v="30"/>
    <x v="0"/>
  </r>
  <r>
    <s v="SCH00238"/>
    <d v="2026-06-27T00:00:00"/>
    <s v="Saturday"/>
    <s v="Historical"/>
    <x v="8"/>
    <s v="Night"/>
    <x v="23"/>
    <x v="23"/>
    <n v="12"/>
    <x v="44"/>
    <x v="0"/>
  </r>
  <r>
    <s v="SCH00239"/>
    <d v="2026-06-27T00:00:00"/>
    <s v="Saturday"/>
    <s v="Historical"/>
    <x v="9"/>
    <s v="Day"/>
    <x v="22"/>
    <x v="22"/>
    <n v="12"/>
    <x v="32"/>
    <x v="0"/>
  </r>
  <r>
    <s v="SCH00240"/>
    <d v="2026-06-27T00:00:00"/>
    <s v="Saturday"/>
    <s v="Historical"/>
    <x v="9"/>
    <s v="Night"/>
    <x v="23"/>
    <x v="23"/>
    <n v="12"/>
    <x v="31"/>
    <x v="0"/>
  </r>
  <r>
    <s v="SCH00241"/>
    <d v="2026-06-28T00:00:00"/>
    <s v="Sunday"/>
    <s v="Historical"/>
    <x v="0"/>
    <s v="Day"/>
    <x v="24"/>
    <x v="24"/>
    <n v="12"/>
    <x v="0"/>
    <x v="0"/>
  </r>
  <r>
    <s v="SCH00242"/>
    <d v="2026-06-28T00:00:00"/>
    <s v="Sunday"/>
    <s v="Historical"/>
    <x v="0"/>
    <s v="Night"/>
    <x v="25"/>
    <x v="25"/>
    <n v="12"/>
    <x v="20"/>
    <x v="0"/>
  </r>
  <r>
    <s v="SCH00243"/>
    <d v="2026-06-28T00:00:00"/>
    <s v="Sunday"/>
    <s v="Historical"/>
    <x v="1"/>
    <s v="Day"/>
    <x v="24"/>
    <x v="24"/>
    <n v="12"/>
    <x v="40"/>
    <x v="0"/>
  </r>
  <r>
    <s v="SCH00244"/>
    <d v="2026-06-28T00:00:00"/>
    <s v="Sunday"/>
    <s v="Historical"/>
    <x v="1"/>
    <s v="Night"/>
    <x v="25"/>
    <x v="25"/>
    <n v="12"/>
    <x v="21"/>
    <x v="0"/>
  </r>
  <r>
    <s v="SCH00245"/>
    <d v="2026-06-28T00:00:00"/>
    <s v="Sunday"/>
    <s v="Historical"/>
    <x v="2"/>
    <s v="Day"/>
    <x v="24"/>
    <x v="24"/>
    <n v="12"/>
    <x v="4"/>
    <x v="0"/>
  </r>
  <r>
    <s v="SCH00246"/>
    <d v="2026-06-28T00:00:00"/>
    <s v="Sunday"/>
    <s v="Historical"/>
    <x v="2"/>
    <s v="Night"/>
    <x v="25"/>
    <x v="25"/>
    <n v="12"/>
    <x v="33"/>
    <x v="0"/>
  </r>
  <r>
    <s v="SCH00247"/>
    <d v="2026-06-28T00:00:00"/>
    <s v="Sunday"/>
    <s v="Historical"/>
    <x v="3"/>
    <s v="Day"/>
    <x v="24"/>
    <x v="24"/>
    <n v="12"/>
    <x v="23"/>
    <x v="0"/>
  </r>
  <r>
    <s v="SCH00248"/>
    <d v="2026-06-28T00:00:00"/>
    <s v="Sunday"/>
    <s v="Historical"/>
    <x v="3"/>
    <s v="Night"/>
    <x v="25"/>
    <x v="25"/>
    <n v="12"/>
    <x v="34"/>
    <x v="0"/>
  </r>
  <r>
    <s v="SCH00249"/>
    <d v="2026-06-28T00:00:00"/>
    <s v="Sunday"/>
    <s v="Historical"/>
    <x v="4"/>
    <s v="Day"/>
    <x v="24"/>
    <x v="24"/>
    <n v="12"/>
    <x v="43"/>
    <x v="0"/>
  </r>
  <r>
    <s v="SCH00250"/>
    <d v="2026-06-28T00:00:00"/>
    <s v="Sunday"/>
    <s v="Historical"/>
    <x v="4"/>
    <s v="Night"/>
    <x v="25"/>
    <x v="25"/>
    <n v="12"/>
    <x v="9"/>
    <x v="0"/>
  </r>
  <r>
    <s v="SCH00251"/>
    <d v="2026-06-28T00:00:00"/>
    <s v="Sunday"/>
    <s v="Historical"/>
    <x v="5"/>
    <s v="Day"/>
    <x v="24"/>
    <x v="24"/>
    <n v="12"/>
    <x v="25"/>
    <x v="0"/>
  </r>
  <r>
    <s v="SCH00252"/>
    <d v="2026-06-28T00:00:00"/>
    <s v="Sunday"/>
    <s v="Historical"/>
    <x v="5"/>
    <s v="Night"/>
    <x v="25"/>
    <x v="25"/>
    <n v="12"/>
    <x v="11"/>
    <x v="0"/>
  </r>
  <r>
    <s v="SCH00253"/>
    <d v="2026-06-28T00:00:00"/>
    <s v="Sunday"/>
    <s v="Historical"/>
    <x v="6"/>
    <s v="Day"/>
    <x v="24"/>
    <x v="24"/>
    <n v="12"/>
    <x v="13"/>
    <x v="0"/>
  </r>
  <r>
    <s v="SCH00254"/>
    <d v="2026-06-28T00:00:00"/>
    <s v="Sunday"/>
    <s v="Historical"/>
    <x v="6"/>
    <s v="Night"/>
    <x v="25"/>
    <x v="25"/>
    <n v="12"/>
    <x v="35"/>
    <x v="0"/>
  </r>
  <r>
    <s v="SCH00255"/>
    <d v="2026-06-28T00:00:00"/>
    <s v="Sunday"/>
    <s v="Historical"/>
    <x v="7"/>
    <s v="Day"/>
    <x v="24"/>
    <x v="24"/>
    <n v="12"/>
    <x v="15"/>
    <x v="0"/>
  </r>
  <r>
    <s v="SCH00256"/>
    <d v="2026-06-28T00:00:00"/>
    <s v="Sunday"/>
    <s v="Historical"/>
    <x v="7"/>
    <s v="Night"/>
    <x v="25"/>
    <x v="25"/>
    <n v="12"/>
    <x v="14"/>
    <x v="0"/>
  </r>
  <r>
    <s v="SCH00257"/>
    <d v="2026-06-28T00:00:00"/>
    <s v="Sunday"/>
    <s v="Historical"/>
    <x v="8"/>
    <s v="Day"/>
    <x v="24"/>
    <x v="24"/>
    <n v="12"/>
    <x v="44"/>
    <x v="0"/>
  </r>
  <r>
    <s v="SCH00258"/>
    <d v="2026-06-28T00:00:00"/>
    <s v="Sunday"/>
    <s v="Historical"/>
    <x v="8"/>
    <s v="Night"/>
    <x v="25"/>
    <x v="25"/>
    <n v="12"/>
    <x v="17"/>
    <x v="0"/>
  </r>
  <r>
    <s v="SCH00259"/>
    <d v="2026-06-28T00:00:00"/>
    <s v="Sunday"/>
    <s v="Historical"/>
    <x v="9"/>
    <s v="Day"/>
    <x v="24"/>
    <x v="24"/>
    <n v="12"/>
    <x v="19"/>
    <x v="0"/>
  </r>
  <r>
    <s v="SCH00260"/>
    <d v="2026-06-28T00:00:00"/>
    <s v="Sunday"/>
    <s v="Historical"/>
    <x v="9"/>
    <s v="Night"/>
    <x v="25"/>
    <x v="25"/>
    <n v="12"/>
    <x v="18"/>
    <x v="0"/>
  </r>
  <r>
    <s v="SCH00261"/>
    <d v="2026-06-29T00:00:00"/>
    <s v="Monday"/>
    <s v="Historical"/>
    <x v="0"/>
    <s v="Day"/>
    <x v="26"/>
    <x v="26"/>
    <n v="12"/>
    <x v="0"/>
    <x v="0"/>
  </r>
  <r>
    <s v="SCH00262"/>
    <d v="2026-06-29T00:00:00"/>
    <s v="Monday"/>
    <s v="Historical"/>
    <x v="0"/>
    <s v="Night"/>
    <x v="27"/>
    <x v="27"/>
    <n v="12"/>
    <x v="20"/>
    <x v="0"/>
  </r>
  <r>
    <s v="SCH00263"/>
    <d v="2026-06-29T00:00:00"/>
    <s v="Monday"/>
    <s v="Historical"/>
    <x v="1"/>
    <s v="Day"/>
    <x v="26"/>
    <x v="26"/>
    <n v="12"/>
    <x v="21"/>
    <x v="0"/>
  </r>
  <r>
    <s v="SCH00264"/>
    <d v="2026-06-29T00:00:00"/>
    <s v="Monday"/>
    <s v="Historical"/>
    <x v="1"/>
    <s v="Night"/>
    <x v="27"/>
    <x v="27"/>
    <n v="12"/>
    <x v="3"/>
    <x v="0"/>
  </r>
  <r>
    <s v="SCH00265"/>
    <d v="2026-06-29T00:00:00"/>
    <s v="Monday"/>
    <s v="Historical"/>
    <x v="2"/>
    <s v="Day"/>
    <x v="26"/>
    <x v="26"/>
    <n v="12"/>
    <x v="4"/>
    <x v="0"/>
  </r>
  <r>
    <s v="SCH00266"/>
    <d v="2026-06-29T00:00:00"/>
    <s v="Monday"/>
    <s v="Historical"/>
    <x v="2"/>
    <s v="Night"/>
    <x v="27"/>
    <x v="27"/>
    <n v="12"/>
    <x v="22"/>
    <x v="0"/>
  </r>
  <r>
    <s v="SCH00267"/>
    <d v="2026-06-29T00:00:00"/>
    <s v="Monday"/>
    <s v="Historical"/>
    <x v="3"/>
    <s v="Day"/>
    <x v="26"/>
    <x v="26"/>
    <n v="12"/>
    <x v="38"/>
    <x v="0"/>
  </r>
  <r>
    <s v="SCH00268"/>
    <d v="2026-06-29T00:00:00"/>
    <s v="Monday"/>
    <s v="Historical"/>
    <x v="3"/>
    <s v="Night"/>
    <x v="27"/>
    <x v="27"/>
    <n v="12"/>
    <x v="7"/>
    <x v="0"/>
  </r>
  <r>
    <s v="SCH00269"/>
    <d v="2026-06-29T00:00:00"/>
    <s v="Monday"/>
    <s v="Historical"/>
    <x v="4"/>
    <s v="Day"/>
    <x v="26"/>
    <x v="26"/>
    <n v="12"/>
    <x v="24"/>
    <x v="0"/>
  </r>
  <r>
    <s v="SCH00270"/>
    <d v="2026-06-29T00:00:00"/>
    <s v="Monday"/>
    <s v="Historical"/>
    <x v="4"/>
    <s v="Night"/>
    <x v="27"/>
    <x v="27"/>
    <n v="12"/>
    <x v="8"/>
    <x v="0"/>
  </r>
  <r>
    <s v="SCH00271"/>
    <d v="2026-06-29T00:00:00"/>
    <s v="Monday"/>
    <s v="Historical"/>
    <x v="5"/>
    <s v="Day"/>
    <x v="26"/>
    <x v="26"/>
    <n v="12"/>
    <x v="26"/>
    <x v="0"/>
  </r>
  <r>
    <s v="SCH00272"/>
    <d v="2026-06-29T00:00:00"/>
    <s v="Monday"/>
    <s v="Historical"/>
    <x v="5"/>
    <s v="Night"/>
    <x v="27"/>
    <x v="27"/>
    <n v="12"/>
    <x v="10"/>
    <x v="0"/>
  </r>
  <r>
    <s v="SCH00273"/>
    <d v="2026-06-29T00:00:00"/>
    <s v="Monday"/>
    <s v="Historical"/>
    <x v="6"/>
    <s v="Day"/>
    <x v="26"/>
    <x v="26"/>
    <n v="12"/>
    <x v="35"/>
    <x v="0"/>
  </r>
  <r>
    <s v="SCH00274"/>
    <d v="2026-06-29T00:00:00"/>
    <s v="Monday"/>
    <s v="Historical"/>
    <x v="6"/>
    <s v="Night"/>
    <x v="27"/>
    <x v="27"/>
    <n v="12"/>
    <x v="36"/>
    <x v="0"/>
  </r>
  <r>
    <s v="SCH00275"/>
    <d v="2026-06-29T00:00:00"/>
    <s v="Monday"/>
    <s v="Historical"/>
    <x v="7"/>
    <s v="Day"/>
    <x v="26"/>
    <x v="26"/>
    <n v="12"/>
    <x v="14"/>
    <x v="0"/>
  </r>
  <r>
    <s v="SCH00276"/>
    <d v="2026-06-29T00:00:00"/>
    <s v="Monday"/>
    <s v="Historical"/>
    <x v="7"/>
    <s v="Night"/>
    <x v="27"/>
    <x v="27"/>
    <n v="12"/>
    <x v="15"/>
    <x v="0"/>
  </r>
  <r>
    <s v="SCH00277"/>
    <d v="2026-06-29T00:00:00"/>
    <s v="Monday"/>
    <s v="Historical"/>
    <x v="8"/>
    <s v="Day"/>
    <x v="26"/>
    <x v="26"/>
    <n v="12"/>
    <x v="17"/>
    <x v="0"/>
  </r>
  <r>
    <s v="SCH00278"/>
    <d v="2026-06-29T00:00:00"/>
    <s v="Monday"/>
    <s v="Historical"/>
    <x v="8"/>
    <s v="Night"/>
    <x v="27"/>
    <x v="27"/>
    <n v="12"/>
    <x v="39"/>
    <x v="0"/>
  </r>
  <r>
    <s v="SCH00279"/>
    <d v="2026-06-29T00:00:00"/>
    <s v="Monday"/>
    <s v="Historical"/>
    <x v="9"/>
    <s v="Day"/>
    <x v="26"/>
    <x v="26"/>
    <n v="12"/>
    <x v="32"/>
    <x v="0"/>
  </r>
  <r>
    <s v="SCH00280"/>
    <d v="2026-06-29T00:00:00"/>
    <s v="Monday"/>
    <s v="Historical"/>
    <x v="9"/>
    <s v="Night"/>
    <x v="27"/>
    <x v="27"/>
    <n v="12"/>
    <x v="31"/>
    <x v="0"/>
  </r>
  <r>
    <s v="SCH00281"/>
    <d v="2026-06-30T00:00:00"/>
    <s v="Tuesday"/>
    <s v="Historical"/>
    <x v="0"/>
    <s v="Day"/>
    <x v="28"/>
    <x v="28"/>
    <n v="12"/>
    <x v="0"/>
    <x v="0"/>
  </r>
  <r>
    <s v="SCH00282"/>
    <d v="2026-06-30T00:00:00"/>
    <s v="Tuesday"/>
    <s v="Historical"/>
    <x v="0"/>
    <s v="Night"/>
    <x v="29"/>
    <x v="29"/>
    <n v="12"/>
    <x v="1"/>
    <x v="0"/>
  </r>
  <r>
    <s v="SCH00283"/>
    <d v="2026-06-30T00:00:00"/>
    <s v="Tuesday"/>
    <s v="Historical"/>
    <x v="1"/>
    <s v="Day"/>
    <x v="28"/>
    <x v="28"/>
    <n v="12"/>
    <x v="45"/>
    <x v="0"/>
  </r>
  <r>
    <s v="SCH00284"/>
    <d v="2026-06-30T00:00:00"/>
    <s v="Tuesday"/>
    <s v="Historical"/>
    <x v="1"/>
    <s v="Night"/>
    <x v="29"/>
    <x v="29"/>
    <n v="12"/>
    <x v="3"/>
    <x v="0"/>
  </r>
  <r>
    <s v="SCH00285"/>
    <d v="2026-06-30T00:00:00"/>
    <s v="Tuesday"/>
    <s v="Historical"/>
    <x v="2"/>
    <s v="Day"/>
    <x v="28"/>
    <x v="28"/>
    <n v="12"/>
    <x v="37"/>
    <x v="0"/>
  </r>
  <r>
    <s v="SCH00286"/>
    <d v="2026-06-30T00:00:00"/>
    <s v="Tuesday"/>
    <s v="Historical"/>
    <x v="2"/>
    <s v="Night"/>
    <x v="29"/>
    <x v="29"/>
    <n v="12"/>
    <x v="33"/>
    <x v="0"/>
  </r>
  <r>
    <s v="SCH00287"/>
    <d v="2026-06-30T00:00:00"/>
    <s v="Tuesday"/>
    <s v="Historical"/>
    <x v="3"/>
    <s v="Day"/>
    <x v="28"/>
    <x v="28"/>
    <n v="12"/>
    <x v="23"/>
    <x v="0"/>
  </r>
  <r>
    <s v="SCH00288"/>
    <d v="2026-06-30T00:00:00"/>
    <s v="Tuesday"/>
    <s v="Historical"/>
    <x v="3"/>
    <s v="Night"/>
    <x v="29"/>
    <x v="29"/>
    <n v="12"/>
    <x v="38"/>
    <x v="0"/>
  </r>
  <r>
    <s v="SCH00289"/>
    <d v="2026-06-30T00:00:00"/>
    <s v="Tuesday"/>
    <s v="Historical"/>
    <x v="4"/>
    <s v="Day"/>
    <x v="28"/>
    <x v="28"/>
    <n v="12"/>
    <x v="43"/>
    <x v="0"/>
  </r>
  <r>
    <s v="SCH00290"/>
    <d v="2026-06-30T00:00:00"/>
    <s v="Tuesday"/>
    <s v="Historical"/>
    <x v="4"/>
    <s v="Night"/>
    <x v="29"/>
    <x v="29"/>
    <n v="12"/>
    <x v="9"/>
    <x v="0"/>
  </r>
  <r>
    <s v="SCH00291"/>
    <d v="2026-06-30T00:00:00"/>
    <s v="Tuesday"/>
    <s v="Historical"/>
    <x v="5"/>
    <s v="Day"/>
    <x v="28"/>
    <x v="28"/>
    <n v="12"/>
    <x v="26"/>
    <x v="0"/>
  </r>
  <r>
    <s v="SCH00292"/>
    <d v="2026-06-30T00:00:00"/>
    <s v="Tuesday"/>
    <s v="Historical"/>
    <x v="5"/>
    <s v="Night"/>
    <x v="29"/>
    <x v="29"/>
    <n v="12"/>
    <x v="25"/>
    <x v="0"/>
  </r>
  <r>
    <s v="SCH00293"/>
    <d v="2026-06-30T00:00:00"/>
    <s v="Tuesday"/>
    <s v="Historical"/>
    <x v="6"/>
    <s v="Day"/>
    <x v="28"/>
    <x v="28"/>
    <n v="12"/>
    <x v="12"/>
    <x v="0"/>
  </r>
  <r>
    <s v="SCH00294"/>
    <d v="2026-06-30T00:00:00"/>
    <s v="Tuesday"/>
    <s v="Historical"/>
    <x v="6"/>
    <s v="Night"/>
    <x v="29"/>
    <x v="29"/>
    <n v="12"/>
    <x v="36"/>
    <x v="0"/>
  </r>
  <r>
    <s v="SCH00295"/>
    <d v="2026-06-30T00:00:00"/>
    <s v="Tuesday"/>
    <s v="Historical"/>
    <x v="7"/>
    <s v="Day"/>
    <x v="28"/>
    <x v="28"/>
    <n v="12"/>
    <x v="15"/>
    <x v="0"/>
  </r>
  <r>
    <s v="SCH00296"/>
    <d v="2026-06-30T00:00:00"/>
    <s v="Tuesday"/>
    <s v="Historical"/>
    <x v="7"/>
    <s v="Night"/>
    <x v="29"/>
    <x v="29"/>
    <n v="12"/>
    <x v="14"/>
    <x v="0"/>
  </r>
  <r>
    <s v="SCH00297"/>
    <d v="2026-06-30T00:00:00"/>
    <s v="Tuesday"/>
    <s v="Historical"/>
    <x v="8"/>
    <s v="Day"/>
    <x v="28"/>
    <x v="28"/>
    <n v="12"/>
    <x v="39"/>
    <x v="0"/>
  </r>
  <r>
    <s v="SCH00298"/>
    <d v="2026-06-30T00:00:00"/>
    <s v="Tuesday"/>
    <s v="Historical"/>
    <x v="8"/>
    <s v="Night"/>
    <x v="29"/>
    <x v="29"/>
    <n v="12"/>
    <x v="16"/>
    <x v="0"/>
  </r>
  <r>
    <s v="SCH00299"/>
    <d v="2026-06-30T00:00:00"/>
    <s v="Tuesday"/>
    <s v="Historical"/>
    <x v="9"/>
    <s v="Day"/>
    <x v="28"/>
    <x v="28"/>
    <n v="12"/>
    <x v="32"/>
    <x v="0"/>
  </r>
  <r>
    <s v="SCH00300"/>
    <d v="2026-06-30T00:00:00"/>
    <s v="Tuesday"/>
    <s v="Historical"/>
    <x v="9"/>
    <s v="Night"/>
    <x v="29"/>
    <x v="29"/>
    <n v="12"/>
    <x v="42"/>
    <x v="0"/>
  </r>
  <r>
    <s v="SCH00301"/>
    <d v="2026-07-01T00:00:00"/>
    <s v="Wednesday"/>
    <s v="Historical"/>
    <x v="0"/>
    <s v="Day"/>
    <x v="30"/>
    <x v="30"/>
    <n v="12"/>
    <x v="0"/>
    <x v="0"/>
  </r>
  <r>
    <s v="SCH00302"/>
    <d v="2026-07-01T00:00:00"/>
    <s v="Wednesday"/>
    <s v="Historical"/>
    <x v="0"/>
    <s v="Night"/>
    <x v="31"/>
    <x v="31"/>
    <n v="12"/>
    <x v="1"/>
    <x v="0"/>
  </r>
  <r>
    <s v="SCH00303"/>
    <d v="2026-07-01T00:00:00"/>
    <s v="Wednesday"/>
    <s v="Historical"/>
    <x v="1"/>
    <s v="Day"/>
    <x v="30"/>
    <x v="30"/>
    <n v="12"/>
    <x v="45"/>
    <x v="0"/>
  </r>
  <r>
    <s v="SCH00304"/>
    <d v="2026-07-01T00:00:00"/>
    <s v="Wednesday"/>
    <s v="Historical"/>
    <x v="1"/>
    <s v="Night"/>
    <x v="31"/>
    <x v="31"/>
    <n v="12"/>
    <x v="2"/>
    <x v="0"/>
  </r>
  <r>
    <s v="SCH00305"/>
    <d v="2026-07-01T00:00:00"/>
    <s v="Wednesday"/>
    <s v="Historical"/>
    <x v="2"/>
    <s v="Day"/>
    <x v="30"/>
    <x v="30"/>
    <n v="12"/>
    <x v="22"/>
    <x v="0"/>
  </r>
  <r>
    <s v="SCH00306"/>
    <d v="2026-07-01T00:00:00"/>
    <s v="Wednesday"/>
    <s v="Historical"/>
    <x v="2"/>
    <s v="Night"/>
    <x v="31"/>
    <x v="31"/>
    <n v="12"/>
    <x v="5"/>
    <x v="0"/>
  </r>
  <r>
    <s v="SCH00307"/>
    <d v="2026-07-01T00:00:00"/>
    <s v="Wednesday"/>
    <s v="Historical"/>
    <x v="3"/>
    <s v="Day"/>
    <x v="30"/>
    <x v="30"/>
    <n v="12"/>
    <x v="7"/>
    <x v="0"/>
  </r>
  <r>
    <s v="SCH00308"/>
    <d v="2026-07-01T00:00:00"/>
    <s v="Wednesday"/>
    <s v="Historical"/>
    <x v="3"/>
    <s v="Night"/>
    <x v="31"/>
    <x v="31"/>
    <n v="12"/>
    <x v="6"/>
    <x v="0"/>
  </r>
  <r>
    <s v="SCH00309"/>
    <d v="2026-07-01T00:00:00"/>
    <s v="Wednesday"/>
    <s v="Historical"/>
    <x v="4"/>
    <s v="Day"/>
    <x v="30"/>
    <x v="30"/>
    <n v="12"/>
    <x v="8"/>
    <x v="0"/>
  </r>
  <r>
    <s v="SCH00310"/>
    <d v="2026-07-01T00:00:00"/>
    <s v="Wednesday"/>
    <s v="Historical"/>
    <x v="4"/>
    <s v="Night"/>
    <x v="31"/>
    <x v="31"/>
    <n v="12"/>
    <x v="24"/>
    <x v="0"/>
  </r>
  <r>
    <s v="SCH00311"/>
    <d v="2026-07-01T00:00:00"/>
    <s v="Wednesday"/>
    <s v="Historical"/>
    <x v="5"/>
    <s v="Day"/>
    <x v="30"/>
    <x v="30"/>
    <n v="12"/>
    <x v="41"/>
    <x v="0"/>
  </r>
  <r>
    <s v="SCH00312"/>
    <d v="2026-07-01T00:00:00"/>
    <s v="Wednesday"/>
    <s v="Historical"/>
    <x v="5"/>
    <s v="Night"/>
    <x v="31"/>
    <x v="31"/>
    <n v="12"/>
    <x v="25"/>
    <x v="0"/>
  </r>
  <r>
    <s v="SCH00313"/>
    <d v="2026-07-01T00:00:00"/>
    <s v="Wednesday"/>
    <s v="Historical"/>
    <x v="6"/>
    <s v="Day"/>
    <x v="30"/>
    <x v="30"/>
    <n v="12"/>
    <x v="35"/>
    <x v="0"/>
  </r>
  <r>
    <s v="SCH00314"/>
    <d v="2026-07-01T00:00:00"/>
    <s v="Wednesday"/>
    <s v="Historical"/>
    <x v="6"/>
    <s v="Night"/>
    <x v="31"/>
    <x v="31"/>
    <n v="12"/>
    <x v="13"/>
    <x v="0"/>
  </r>
  <r>
    <s v="SCH00315"/>
    <d v="2026-07-01T00:00:00"/>
    <s v="Wednesday"/>
    <s v="Historical"/>
    <x v="7"/>
    <s v="Day"/>
    <x v="30"/>
    <x v="30"/>
    <n v="12"/>
    <x v="29"/>
    <x v="0"/>
  </r>
  <r>
    <s v="SCH00316"/>
    <d v="2026-07-01T00:00:00"/>
    <s v="Wednesday"/>
    <s v="Historical"/>
    <x v="7"/>
    <s v="Night"/>
    <x v="31"/>
    <x v="31"/>
    <n v="12"/>
    <x v="28"/>
    <x v="0"/>
  </r>
  <r>
    <s v="SCH00317"/>
    <d v="2026-07-01T00:00:00"/>
    <s v="Wednesday"/>
    <s v="Historical"/>
    <x v="8"/>
    <s v="Day"/>
    <x v="30"/>
    <x v="30"/>
    <n v="12"/>
    <x v="30"/>
    <x v="0"/>
  </r>
  <r>
    <s v="SCH00318"/>
    <d v="2026-07-01T00:00:00"/>
    <s v="Wednesday"/>
    <s v="Historical"/>
    <x v="8"/>
    <s v="Night"/>
    <x v="31"/>
    <x v="31"/>
    <n v="12"/>
    <x v="16"/>
    <x v="0"/>
  </r>
  <r>
    <s v="SCH00319"/>
    <d v="2026-07-01T00:00:00"/>
    <s v="Wednesday"/>
    <s v="Historical"/>
    <x v="9"/>
    <s v="Day"/>
    <x v="30"/>
    <x v="30"/>
    <n v="12"/>
    <x v="42"/>
    <x v="0"/>
  </r>
  <r>
    <s v="SCH00320"/>
    <d v="2026-07-01T00:00:00"/>
    <s v="Wednesday"/>
    <s v="Historical"/>
    <x v="9"/>
    <s v="Night"/>
    <x v="31"/>
    <x v="31"/>
    <n v="12"/>
    <x v="31"/>
    <x v="0"/>
  </r>
  <r>
    <s v="SCH00321"/>
    <d v="2026-07-02T00:00:00"/>
    <s v="Thursday"/>
    <s v="Historical"/>
    <x v="0"/>
    <s v="Day"/>
    <x v="32"/>
    <x v="32"/>
    <n v="12"/>
    <x v="0"/>
    <x v="0"/>
  </r>
  <r>
    <s v="SCH00322"/>
    <d v="2026-07-02T00:00:00"/>
    <s v="Thursday"/>
    <s v="Historical"/>
    <x v="0"/>
    <s v="Night"/>
    <x v="33"/>
    <x v="33"/>
    <n v="12"/>
    <x v="20"/>
    <x v="0"/>
  </r>
  <r>
    <s v="SCH00323"/>
    <d v="2026-07-02T00:00:00"/>
    <s v="Thursday"/>
    <s v="Historical"/>
    <x v="1"/>
    <s v="Day"/>
    <x v="32"/>
    <x v="32"/>
    <n v="12"/>
    <x v="2"/>
    <x v="0"/>
  </r>
  <r>
    <s v="SCH00324"/>
    <d v="2026-07-02T00:00:00"/>
    <s v="Thursday"/>
    <s v="Historical"/>
    <x v="1"/>
    <s v="Night"/>
    <x v="33"/>
    <x v="33"/>
    <n v="12"/>
    <x v="21"/>
    <x v="0"/>
  </r>
  <r>
    <s v="SCH00325"/>
    <d v="2026-07-02T00:00:00"/>
    <s v="Thursday"/>
    <s v="Historical"/>
    <x v="2"/>
    <s v="Day"/>
    <x v="32"/>
    <x v="32"/>
    <n v="12"/>
    <x v="33"/>
    <x v="0"/>
  </r>
  <r>
    <s v="SCH00326"/>
    <d v="2026-07-02T00:00:00"/>
    <s v="Thursday"/>
    <s v="Historical"/>
    <x v="2"/>
    <s v="Night"/>
    <x v="33"/>
    <x v="33"/>
    <n v="12"/>
    <x v="5"/>
    <x v="0"/>
  </r>
  <r>
    <s v="SCH00327"/>
    <d v="2026-07-02T00:00:00"/>
    <s v="Thursday"/>
    <s v="Historical"/>
    <x v="3"/>
    <s v="Day"/>
    <x v="32"/>
    <x v="32"/>
    <n v="12"/>
    <x v="7"/>
    <x v="0"/>
  </r>
  <r>
    <s v="SCH00328"/>
    <d v="2026-07-02T00:00:00"/>
    <s v="Thursday"/>
    <s v="Historical"/>
    <x v="3"/>
    <s v="Night"/>
    <x v="33"/>
    <x v="33"/>
    <n v="12"/>
    <x v="23"/>
    <x v="0"/>
  </r>
  <r>
    <s v="SCH00329"/>
    <d v="2026-07-02T00:00:00"/>
    <s v="Thursday"/>
    <s v="Historical"/>
    <x v="4"/>
    <s v="Day"/>
    <x v="32"/>
    <x v="32"/>
    <n v="12"/>
    <x v="43"/>
    <x v="0"/>
  </r>
  <r>
    <s v="SCH00330"/>
    <d v="2026-07-02T00:00:00"/>
    <s v="Thursday"/>
    <s v="Historical"/>
    <x v="4"/>
    <s v="Night"/>
    <x v="33"/>
    <x v="33"/>
    <n v="12"/>
    <x v="9"/>
    <x v="0"/>
  </r>
  <r>
    <s v="SCH00331"/>
    <d v="2026-07-02T00:00:00"/>
    <s v="Thursday"/>
    <s v="Historical"/>
    <x v="5"/>
    <s v="Day"/>
    <x v="32"/>
    <x v="32"/>
    <n v="12"/>
    <x v="41"/>
    <x v="0"/>
  </r>
  <r>
    <s v="SCH00332"/>
    <d v="2026-07-02T00:00:00"/>
    <s v="Thursday"/>
    <s v="Historical"/>
    <x v="5"/>
    <s v="Night"/>
    <x v="33"/>
    <x v="33"/>
    <n v="12"/>
    <x v="10"/>
    <x v="0"/>
  </r>
  <r>
    <s v="SCH00333"/>
    <d v="2026-07-02T00:00:00"/>
    <s v="Thursday"/>
    <s v="Historical"/>
    <x v="6"/>
    <s v="Day"/>
    <x v="32"/>
    <x v="32"/>
    <n v="12"/>
    <x v="27"/>
    <x v="0"/>
  </r>
  <r>
    <s v="SCH00334"/>
    <d v="2026-07-02T00:00:00"/>
    <s v="Thursday"/>
    <s v="Historical"/>
    <x v="6"/>
    <s v="Night"/>
    <x v="33"/>
    <x v="33"/>
    <n v="12"/>
    <x v="36"/>
    <x v="0"/>
  </r>
  <r>
    <s v="SCH00335"/>
    <d v="2026-07-02T00:00:00"/>
    <s v="Thursday"/>
    <s v="Historical"/>
    <x v="7"/>
    <s v="Day"/>
    <x v="32"/>
    <x v="32"/>
    <n v="12"/>
    <x v="29"/>
    <x v="0"/>
  </r>
  <r>
    <s v="SCH00336"/>
    <d v="2026-07-02T00:00:00"/>
    <s v="Thursday"/>
    <s v="Historical"/>
    <x v="7"/>
    <s v="Night"/>
    <x v="33"/>
    <x v="33"/>
    <n v="12"/>
    <x v="15"/>
    <x v="0"/>
  </r>
  <r>
    <s v="SCH00337"/>
    <d v="2026-07-02T00:00:00"/>
    <s v="Thursday"/>
    <s v="Historical"/>
    <x v="8"/>
    <s v="Day"/>
    <x v="32"/>
    <x v="32"/>
    <n v="12"/>
    <x v="17"/>
    <x v="0"/>
  </r>
  <r>
    <s v="SCH00338"/>
    <d v="2026-07-02T00:00:00"/>
    <s v="Thursday"/>
    <s v="Historical"/>
    <x v="8"/>
    <s v="Night"/>
    <x v="33"/>
    <x v="33"/>
    <n v="12"/>
    <x v="44"/>
    <x v="0"/>
  </r>
  <r>
    <s v="SCH00339"/>
    <d v="2026-07-02T00:00:00"/>
    <s v="Thursday"/>
    <s v="Historical"/>
    <x v="9"/>
    <s v="Day"/>
    <x v="32"/>
    <x v="32"/>
    <n v="12"/>
    <x v="19"/>
    <x v="0"/>
  </r>
  <r>
    <s v="SCH00340"/>
    <d v="2026-07-02T00:00:00"/>
    <s v="Thursday"/>
    <s v="Historical"/>
    <x v="9"/>
    <s v="Night"/>
    <x v="33"/>
    <x v="33"/>
    <n v="12"/>
    <x v="42"/>
    <x v="0"/>
  </r>
  <r>
    <s v="SCH00341"/>
    <d v="2026-07-03T00:00:00"/>
    <s v="Friday"/>
    <s v="Historical"/>
    <x v="0"/>
    <s v="Day"/>
    <x v="34"/>
    <x v="34"/>
    <n v="12"/>
    <x v="1"/>
    <x v="0"/>
  </r>
  <r>
    <s v="SCH00342"/>
    <d v="2026-07-03T00:00:00"/>
    <s v="Friday"/>
    <s v="Historical"/>
    <x v="0"/>
    <s v="Night"/>
    <x v="35"/>
    <x v="35"/>
    <n v="12"/>
    <x v="20"/>
    <x v="0"/>
  </r>
  <r>
    <s v="SCH00343"/>
    <d v="2026-07-03T00:00:00"/>
    <s v="Friday"/>
    <s v="Historical"/>
    <x v="1"/>
    <s v="Day"/>
    <x v="34"/>
    <x v="34"/>
    <n v="12"/>
    <x v="21"/>
    <x v="0"/>
  </r>
  <r>
    <s v="SCH00344"/>
    <d v="2026-07-03T00:00:00"/>
    <s v="Friday"/>
    <s v="Historical"/>
    <x v="1"/>
    <s v="Night"/>
    <x v="35"/>
    <x v="35"/>
    <n v="12"/>
    <x v="45"/>
    <x v="0"/>
  </r>
  <r>
    <s v="SCH00345"/>
    <d v="2026-07-03T00:00:00"/>
    <s v="Friday"/>
    <s v="Historical"/>
    <x v="2"/>
    <s v="Day"/>
    <x v="34"/>
    <x v="34"/>
    <n v="12"/>
    <x v="37"/>
    <x v="0"/>
  </r>
  <r>
    <s v="SCH00346"/>
    <d v="2026-07-03T00:00:00"/>
    <s v="Friday"/>
    <s v="Historical"/>
    <x v="2"/>
    <s v="Night"/>
    <x v="35"/>
    <x v="35"/>
    <n v="12"/>
    <x v="4"/>
    <x v="0"/>
  </r>
  <r>
    <s v="SCH00347"/>
    <d v="2026-07-03T00:00:00"/>
    <s v="Friday"/>
    <s v="Historical"/>
    <x v="3"/>
    <s v="Day"/>
    <x v="34"/>
    <x v="34"/>
    <n v="12"/>
    <x v="34"/>
    <x v="0"/>
  </r>
  <r>
    <s v="SCH00348"/>
    <d v="2026-07-03T00:00:00"/>
    <s v="Friday"/>
    <s v="Historical"/>
    <x v="3"/>
    <s v="Night"/>
    <x v="35"/>
    <x v="35"/>
    <n v="12"/>
    <x v="38"/>
    <x v="0"/>
  </r>
  <r>
    <s v="SCH00349"/>
    <d v="2026-07-03T00:00:00"/>
    <s v="Friday"/>
    <s v="Historical"/>
    <x v="4"/>
    <s v="Day"/>
    <x v="34"/>
    <x v="34"/>
    <n v="12"/>
    <x v="9"/>
    <x v="0"/>
  </r>
  <r>
    <s v="SCH00350"/>
    <d v="2026-07-03T00:00:00"/>
    <s v="Friday"/>
    <s v="Historical"/>
    <x v="4"/>
    <s v="Night"/>
    <x v="35"/>
    <x v="35"/>
    <n v="12"/>
    <x v="43"/>
    <x v="0"/>
  </r>
  <r>
    <s v="SCH00351"/>
    <d v="2026-07-03T00:00:00"/>
    <s v="Friday"/>
    <s v="Historical"/>
    <x v="5"/>
    <s v="Day"/>
    <x v="34"/>
    <x v="34"/>
    <n v="12"/>
    <x v="11"/>
    <x v="0"/>
  </r>
  <r>
    <s v="SCH00352"/>
    <d v="2026-07-03T00:00:00"/>
    <s v="Friday"/>
    <s v="Historical"/>
    <x v="5"/>
    <s v="Night"/>
    <x v="35"/>
    <x v="35"/>
    <n v="12"/>
    <x v="41"/>
    <x v="0"/>
  </r>
  <r>
    <s v="SCH00353"/>
    <d v="2026-07-03T00:00:00"/>
    <s v="Friday"/>
    <s v="Historical"/>
    <x v="6"/>
    <s v="Day"/>
    <x v="34"/>
    <x v="34"/>
    <n v="12"/>
    <x v="12"/>
    <x v="0"/>
  </r>
  <r>
    <s v="SCH00354"/>
    <d v="2026-07-03T00:00:00"/>
    <s v="Friday"/>
    <s v="Historical"/>
    <x v="6"/>
    <s v="Night"/>
    <x v="35"/>
    <x v="35"/>
    <n v="12"/>
    <x v="35"/>
    <x v="0"/>
  </r>
  <r>
    <s v="SCH00355"/>
    <d v="2026-07-03T00:00:00"/>
    <s v="Friday"/>
    <s v="Historical"/>
    <x v="7"/>
    <s v="Day"/>
    <x v="34"/>
    <x v="34"/>
    <n v="12"/>
    <x v="28"/>
    <x v="0"/>
  </r>
  <r>
    <s v="SCH00356"/>
    <d v="2026-07-03T00:00:00"/>
    <s v="Friday"/>
    <s v="Historical"/>
    <x v="7"/>
    <s v="Night"/>
    <x v="35"/>
    <x v="35"/>
    <n v="12"/>
    <x v="29"/>
    <x v="0"/>
  </r>
  <r>
    <s v="SCH00357"/>
    <d v="2026-07-03T00:00:00"/>
    <s v="Friday"/>
    <s v="Historical"/>
    <x v="8"/>
    <s v="Day"/>
    <x v="34"/>
    <x v="34"/>
    <n v="12"/>
    <x v="16"/>
    <x v="0"/>
  </r>
  <r>
    <s v="SCH00358"/>
    <d v="2026-07-03T00:00:00"/>
    <s v="Friday"/>
    <s v="Historical"/>
    <x v="8"/>
    <s v="Night"/>
    <x v="35"/>
    <x v="35"/>
    <n v="12"/>
    <x v="44"/>
    <x v="0"/>
  </r>
  <r>
    <s v="SCH00359"/>
    <d v="2026-07-03T00:00:00"/>
    <s v="Friday"/>
    <s v="Historical"/>
    <x v="9"/>
    <s v="Day"/>
    <x v="34"/>
    <x v="34"/>
    <n v="12"/>
    <x v="18"/>
    <x v="0"/>
  </r>
  <r>
    <s v="SCH00360"/>
    <d v="2026-07-03T00:00:00"/>
    <s v="Friday"/>
    <s v="Historical"/>
    <x v="9"/>
    <s v="Night"/>
    <x v="35"/>
    <x v="35"/>
    <n v="12"/>
    <x v="42"/>
    <x v="0"/>
  </r>
  <r>
    <s v="SCH00361"/>
    <d v="2026-07-04T00:00:00"/>
    <s v="Saturday"/>
    <s v="Historical"/>
    <x v="0"/>
    <s v="Day"/>
    <x v="36"/>
    <x v="36"/>
    <n v="12"/>
    <x v="20"/>
    <x v="0"/>
  </r>
  <r>
    <s v="SCH00362"/>
    <d v="2026-07-04T00:00:00"/>
    <s v="Saturday"/>
    <s v="Historical"/>
    <x v="0"/>
    <s v="Night"/>
    <x v="37"/>
    <x v="37"/>
    <n v="12"/>
    <x v="0"/>
    <x v="0"/>
  </r>
  <r>
    <s v="SCH00363"/>
    <d v="2026-07-04T00:00:00"/>
    <s v="Saturday"/>
    <s v="Historical"/>
    <x v="1"/>
    <s v="Day"/>
    <x v="36"/>
    <x v="36"/>
    <n v="12"/>
    <x v="40"/>
    <x v="0"/>
  </r>
  <r>
    <s v="SCH00364"/>
    <d v="2026-07-04T00:00:00"/>
    <s v="Saturday"/>
    <s v="Historical"/>
    <x v="1"/>
    <s v="Night"/>
    <x v="37"/>
    <x v="37"/>
    <n v="12"/>
    <x v="2"/>
    <x v="0"/>
  </r>
  <r>
    <s v="SCH00365"/>
    <d v="2026-07-04T00:00:00"/>
    <s v="Saturday"/>
    <s v="Historical"/>
    <x v="2"/>
    <s v="Day"/>
    <x v="36"/>
    <x v="36"/>
    <n v="12"/>
    <x v="22"/>
    <x v="0"/>
  </r>
  <r>
    <s v="SCH00366"/>
    <d v="2026-07-04T00:00:00"/>
    <s v="Saturday"/>
    <s v="Historical"/>
    <x v="2"/>
    <s v="Night"/>
    <x v="37"/>
    <x v="37"/>
    <n v="12"/>
    <x v="5"/>
    <x v="0"/>
  </r>
  <r>
    <s v="SCH00367"/>
    <d v="2026-07-04T00:00:00"/>
    <s v="Saturday"/>
    <s v="Historical"/>
    <x v="3"/>
    <s v="Day"/>
    <x v="36"/>
    <x v="36"/>
    <n v="12"/>
    <x v="6"/>
    <x v="0"/>
  </r>
  <r>
    <s v="SCH00368"/>
    <d v="2026-07-04T00:00:00"/>
    <s v="Saturday"/>
    <s v="Historical"/>
    <x v="3"/>
    <s v="Night"/>
    <x v="37"/>
    <x v="37"/>
    <n v="12"/>
    <x v="34"/>
    <x v="0"/>
  </r>
  <r>
    <s v="SCH00369"/>
    <d v="2026-07-04T00:00:00"/>
    <s v="Saturday"/>
    <s v="Historical"/>
    <x v="4"/>
    <s v="Day"/>
    <x v="36"/>
    <x v="36"/>
    <n v="12"/>
    <x v="9"/>
    <x v="0"/>
  </r>
  <r>
    <s v="SCH00370"/>
    <d v="2026-07-04T00:00:00"/>
    <s v="Saturday"/>
    <s v="Historical"/>
    <x v="4"/>
    <s v="Night"/>
    <x v="37"/>
    <x v="37"/>
    <n v="12"/>
    <x v="8"/>
    <x v="0"/>
  </r>
  <r>
    <s v="SCH00371"/>
    <d v="2026-07-04T00:00:00"/>
    <s v="Saturday"/>
    <s v="Historical"/>
    <x v="5"/>
    <s v="Day"/>
    <x v="36"/>
    <x v="36"/>
    <n v="12"/>
    <x v="25"/>
    <x v="0"/>
  </r>
  <r>
    <s v="SCH00372"/>
    <d v="2026-07-04T00:00:00"/>
    <s v="Saturday"/>
    <s v="Historical"/>
    <x v="5"/>
    <s v="Night"/>
    <x v="37"/>
    <x v="37"/>
    <n v="12"/>
    <x v="26"/>
    <x v="0"/>
  </r>
  <r>
    <s v="SCH00373"/>
    <d v="2026-07-04T00:00:00"/>
    <s v="Saturday"/>
    <s v="Historical"/>
    <x v="6"/>
    <s v="Day"/>
    <x v="36"/>
    <x v="36"/>
    <n v="12"/>
    <x v="12"/>
    <x v="0"/>
  </r>
  <r>
    <s v="SCH00374"/>
    <d v="2026-07-04T00:00:00"/>
    <s v="Saturday"/>
    <s v="Historical"/>
    <x v="6"/>
    <s v="Night"/>
    <x v="37"/>
    <x v="37"/>
    <n v="12"/>
    <x v="13"/>
    <x v="0"/>
  </r>
  <r>
    <s v="SCH00375"/>
    <d v="2026-07-04T00:00:00"/>
    <s v="Saturday"/>
    <s v="Historical"/>
    <x v="7"/>
    <s v="Day"/>
    <x v="36"/>
    <x v="36"/>
    <n v="12"/>
    <x v="29"/>
    <x v="0"/>
  </r>
  <r>
    <s v="SCH00376"/>
    <d v="2026-07-04T00:00:00"/>
    <s v="Saturday"/>
    <s v="Historical"/>
    <x v="7"/>
    <s v="Night"/>
    <x v="37"/>
    <x v="37"/>
    <n v="12"/>
    <x v="15"/>
    <x v="0"/>
  </r>
  <r>
    <s v="SCH00377"/>
    <d v="2026-07-04T00:00:00"/>
    <s v="Saturday"/>
    <s v="Historical"/>
    <x v="8"/>
    <s v="Day"/>
    <x v="36"/>
    <x v="36"/>
    <n v="12"/>
    <x v="16"/>
    <x v="0"/>
  </r>
  <r>
    <s v="SCH00378"/>
    <d v="2026-07-04T00:00:00"/>
    <s v="Saturday"/>
    <s v="Historical"/>
    <x v="8"/>
    <s v="Night"/>
    <x v="37"/>
    <x v="37"/>
    <n v="12"/>
    <x v="44"/>
    <x v="0"/>
  </r>
  <r>
    <s v="SCH00379"/>
    <d v="2026-07-04T00:00:00"/>
    <s v="Saturday"/>
    <s v="Historical"/>
    <x v="9"/>
    <s v="Day"/>
    <x v="36"/>
    <x v="36"/>
    <n v="12"/>
    <x v="32"/>
    <x v="0"/>
  </r>
  <r>
    <s v="SCH00380"/>
    <d v="2026-07-04T00:00:00"/>
    <s v="Saturday"/>
    <s v="Historical"/>
    <x v="9"/>
    <s v="Night"/>
    <x v="37"/>
    <x v="37"/>
    <n v="12"/>
    <x v="31"/>
    <x v="0"/>
  </r>
  <r>
    <s v="SCH00381"/>
    <d v="2026-07-05T00:00:00"/>
    <s v="Sunday"/>
    <s v="Historical"/>
    <x v="0"/>
    <s v="Day"/>
    <x v="38"/>
    <x v="38"/>
    <n v="12"/>
    <x v="0"/>
    <x v="0"/>
  </r>
  <r>
    <s v="SCH00382"/>
    <d v="2026-07-05T00:00:00"/>
    <s v="Sunday"/>
    <s v="Historical"/>
    <x v="0"/>
    <s v="Night"/>
    <x v="39"/>
    <x v="39"/>
    <n v="12"/>
    <x v="20"/>
    <x v="0"/>
  </r>
  <r>
    <s v="SCH00383"/>
    <d v="2026-07-05T00:00:00"/>
    <s v="Sunday"/>
    <s v="Historical"/>
    <x v="1"/>
    <s v="Day"/>
    <x v="38"/>
    <x v="38"/>
    <n v="12"/>
    <x v="3"/>
    <x v="0"/>
  </r>
  <r>
    <s v="SCH00384"/>
    <d v="2026-07-05T00:00:00"/>
    <s v="Sunday"/>
    <s v="Historical"/>
    <x v="1"/>
    <s v="Night"/>
    <x v="39"/>
    <x v="39"/>
    <n v="12"/>
    <x v="40"/>
    <x v="0"/>
  </r>
  <r>
    <s v="SCH00385"/>
    <d v="2026-07-05T00:00:00"/>
    <s v="Sunday"/>
    <s v="Historical"/>
    <x v="2"/>
    <s v="Day"/>
    <x v="38"/>
    <x v="38"/>
    <n v="12"/>
    <x v="5"/>
    <x v="0"/>
  </r>
  <r>
    <s v="SCH00386"/>
    <d v="2026-07-05T00:00:00"/>
    <s v="Sunday"/>
    <s v="Historical"/>
    <x v="2"/>
    <s v="Night"/>
    <x v="39"/>
    <x v="39"/>
    <n v="12"/>
    <x v="4"/>
    <x v="0"/>
  </r>
  <r>
    <s v="SCH00387"/>
    <d v="2026-07-05T00:00:00"/>
    <s v="Sunday"/>
    <s v="Historical"/>
    <x v="3"/>
    <s v="Day"/>
    <x v="38"/>
    <x v="38"/>
    <n v="12"/>
    <x v="23"/>
    <x v="0"/>
  </r>
  <r>
    <s v="SCH00388"/>
    <d v="2026-07-05T00:00:00"/>
    <s v="Sunday"/>
    <s v="Historical"/>
    <x v="3"/>
    <s v="Night"/>
    <x v="39"/>
    <x v="39"/>
    <n v="12"/>
    <x v="7"/>
    <x v="0"/>
  </r>
  <r>
    <s v="SCH00389"/>
    <d v="2026-07-05T00:00:00"/>
    <s v="Sunday"/>
    <s v="Historical"/>
    <x v="4"/>
    <s v="Day"/>
    <x v="38"/>
    <x v="38"/>
    <n v="12"/>
    <x v="8"/>
    <x v="0"/>
  </r>
  <r>
    <s v="SCH00390"/>
    <d v="2026-07-05T00:00:00"/>
    <s v="Sunday"/>
    <s v="Historical"/>
    <x v="4"/>
    <s v="Night"/>
    <x v="39"/>
    <x v="39"/>
    <n v="12"/>
    <x v="43"/>
    <x v="0"/>
  </r>
  <r>
    <s v="SCH00391"/>
    <d v="2026-07-05T00:00:00"/>
    <s v="Sunday"/>
    <s v="Historical"/>
    <x v="5"/>
    <s v="Day"/>
    <x v="38"/>
    <x v="38"/>
    <n v="12"/>
    <x v="11"/>
    <x v="0"/>
  </r>
  <r>
    <s v="SCH00392"/>
    <d v="2026-07-05T00:00:00"/>
    <s v="Sunday"/>
    <s v="Historical"/>
    <x v="5"/>
    <s v="Night"/>
    <x v="39"/>
    <x v="39"/>
    <n v="12"/>
    <x v="25"/>
    <x v="0"/>
  </r>
  <r>
    <s v="SCH00393"/>
    <d v="2026-07-05T00:00:00"/>
    <s v="Sunday"/>
    <s v="Historical"/>
    <x v="6"/>
    <s v="Day"/>
    <x v="38"/>
    <x v="38"/>
    <n v="12"/>
    <x v="36"/>
    <x v="0"/>
  </r>
  <r>
    <s v="SCH00394"/>
    <d v="2026-07-05T00:00:00"/>
    <s v="Sunday"/>
    <s v="Historical"/>
    <x v="6"/>
    <s v="Night"/>
    <x v="39"/>
    <x v="39"/>
    <n v="12"/>
    <x v="27"/>
    <x v="0"/>
  </r>
  <r>
    <s v="SCH00395"/>
    <d v="2026-07-05T00:00:00"/>
    <s v="Sunday"/>
    <s v="Historical"/>
    <x v="7"/>
    <s v="Day"/>
    <x v="38"/>
    <x v="38"/>
    <n v="12"/>
    <x v="15"/>
    <x v="0"/>
  </r>
  <r>
    <s v="SCH00396"/>
    <d v="2026-07-05T00:00:00"/>
    <s v="Sunday"/>
    <s v="Historical"/>
    <x v="7"/>
    <s v="Night"/>
    <x v="39"/>
    <x v="39"/>
    <n v="12"/>
    <x v="28"/>
    <x v="0"/>
  </r>
  <r>
    <s v="SCH00397"/>
    <d v="2026-07-05T00:00:00"/>
    <s v="Sunday"/>
    <s v="Historical"/>
    <x v="8"/>
    <s v="Day"/>
    <x v="38"/>
    <x v="38"/>
    <n v="12"/>
    <x v="30"/>
    <x v="0"/>
  </r>
  <r>
    <s v="SCH00398"/>
    <d v="2026-07-05T00:00:00"/>
    <s v="Sunday"/>
    <s v="Historical"/>
    <x v="8"/>
    <s v="Night"/>
    <x v="39"/>
    <x v="39"/>
    <n v="12"/>
    <x v="17"/>
    <x v="0"/>
  </r>
  <r>
    <s v="SCH00399"/>
    <d v="2026-07-05T00:00:00"/>
    <s v="Sunday"/>
    <s v="Historical"/>
    <x v="9"/>
    <s v="Day"/>
    <x v="38"/>
    <x v="38"/>
    <n v="12"/>
    <x v="31"/>
    <x v="0"/>
  </r>
  <r>
    <s v="SCH00400"/>
    <d v="2026-07-05T00:00:00"/>
    <s v="Sunday"/>
    <s v="Historical"/>
    <x v="9"/>
    <s v="Night"/>
    <x v="39"/>
    <x v="39"/>
    <n v="12"/>
    <x v="18"/>
    <x v="0"/>
  </r>
  <r>
    <s v="SCH00401"/>
    <d v="2026-07-06T00:00:00"/>
    <s v="Monday"/>
    <s v="Historical"/>
    <x v="0"/>
    <s v="Day"/>
    <x v="40"/>
    <x v="40"/>
    <n v="12"/>
    <x v="20"/>
    <x v="0"/>
  </r>
  <r>
    <s v="SCH00402"/>
    <d v="2026-07-06T00:00:00"/>
    <s v="Monday"/>
    <s v="Historical"/>
    <x v="0"/>
    <s v="Night"/>
    <x v="41"/>
    <x v="41"/>
    <n v="12"/>
    <x v="0"/>
    <x v="0"/>
  </r>
  <r>
    <s v="SCH00403"/>
    <d v="2026-07-06T00:00:00"/>
    <s v="Monday"/>
    <s v="Historical"/>
    <x v="1"/>
    <s v="Day"/>
    <x v="40"/>
    <x v="40"/>
    <n v="12"/>
    <x v="2"/>
    <x v="0"/>
  </r>
  <r>
    <s v="SCH00404"/>
    <d v="2026-07-06T00:00:00"/>
    <s v="Monday"/>
    <s v="Historical"/>
    <x v="1"/>
    <s v="Night"/>
    <x v="41"/>
    <x v="41"/>
    <n v="12"/>
    <x v="21"/>
    <x v="0"/>
  </r>
  <r>
    <s v="SCH00405"/>
    <d v="2026-07-06T00:00:00"/>
    <s v="Monday"/>
    <s v="Historical"/>
    <x v="2"/>
    <s v="Day"/>
    <x v="40"/>
    <x v="40"/>
    <n v="12"/>
    <x v="37"/>
    <x v="0"/>
  </r>
  <r>
    <s v="SCH00406"/>
    <d v="2026-07-06T00:00:00"/>
    <s v="Monday"/>
    <s v="Historical"/>
    <x v="2"/>
    <s v="Night"/>
    <x v="41"/>
    <x v="41"/>
    <n v="12"/>
    <x v="5"/>
    <x v="0"/>
  </r>
  <r>
    <s v="SCH00407"/>
    <d v="2026-07-06T00:00:00"/>
    <s v="Monday"/>
    <s v="Historical"/>
    <x v="3"/>
    <s v="Day"/>
    <x v="40"/>
    <x v="40"/>
    <n v="12"/>
    <x v="23"/>
    <x v="0"/>
  </r>
  <r>
    <s v="SCH00408"/>
    <d v="2026-07-06T00:00:00"/>
    <s v="Monday"/>
    <s v="Historical"/>
    <x v="3"/>
    <s v="Night"/>
    <x v="41"/>
    <x v="41"/>
    <n v="12"/>
    <x v="6"/>
    <x v="0"/>
  </r>
  <r>
    <s v="SCH00409"/>
    <d v="2026-07-06T00:00:00"/>
    <s v="Monday"/>
    <s v="Historical"/>
    <x v="4"/>
    <s v="Day"/>
    <x v="40"/>
    <x v="40"/>
    <n v="12"/>
    <x v="9"/>
    <x v="0"/>
  </r>
  <r>
    <s v="SCH00410"/>
    <d v="2026-07-06T00:00:00"/>
    <s v="Monday"/>
    <s v="Historical"/>
    <x v="4"/>
    <s v="Night"/>
    <x v="41"/>
    <x v="41"/>
    <n v="12"/>
    <x v="8"/>
    <x v="0"/>
  </r>
  <r>
    <s v="SCH00411"/>
    <d v="2026-07-06T00:00:00"/>
    <s v="Monday"/>
    <s v="Historical"/>
    <x v="5"/>
    <s v="Day"/>
    <x v="40"/>
    <x v="40"/>
    <n v="12"/>
    <x v="11"/>
    <x v="0"/>
  </r>
  <r>
    <s v="SCH00412"/>
    <d v="2026-07-06T00:00:00"/>
    <s v="Monday"/>
    <s v="Historical"/>
    <x v="5"/>
    <s v="Night"/>
    <x v="41"/>
    <x v="41"/>
    <n v="12"/>
    <x v="10"/>
    <x v="0"/>
  </r>
  <r>
    <s v="SCH00413"/>
    <d v="2026-07-06T00:00:00"/>
    <s v="Monday"/>
    <s v="Historical"/>
    <x v="6"/>
    <s v="Day"/>
    <x v="40"/>
    <x v="40"/>
    <n v="12"/>
    <x v="35"/>
    <x v="0"/>
  </r>
  <r>
    <s v="SCH00414"/>
    <d v="2026-07-06T00:00:00"/>
    <s v="Monday"/>
    <s v="Historical"/>
    <x v="6"/>
    <s v="Night"/>
    <x v="41"/>
    <x v="41"/>
    <n v="12"/>
    <x v="27"/>
    <x v="0"/>
  </r>
  <r>
    <s v="SCH00415"/>
    <d v="2026-07-06T00:00:00"/>
    <s v="Monday"/>
    <s v="Historical"/>
    <x v="7"/>
    <s v="Day"/>
    <x v="40"/>
    <x v="40"/>
    <n v="12"/>
    <x v="14"/>
    <x v="0"/>
  </r>
  <r>
    <s v="SCH00416"/>
    <d v="2026-07-06T00:00:00"/>
    <s v="Monday"/>
    <s v="Historical"/>
    <x v="7"/>
    <s v="Night"/>
    <x v="41"/>
    <x v="41"/>
    <n v="12"/>
    <x v="29"/>
    <x v="0"/>
  </r>
  <r>
    <s v="SCH00417"/>
    <d v="2026-07-06T00:00:00"/>
    <s v="Monday"/>
    <s v="Historical"/>
    <x v="8"/>
    <s v="Day"/>
    <x v="40"/>
    <x v="40"/>
    <n v="12"/>
    <x v="30"/>
    <x v="0"/>
  </r>
  <r>
    <s v="SCH00418"/>
    <d v="2026-07-06T00:00:00"/>
    <s v="Monday"/>
    <s v="Historical"/>
    <x v="8"/>
    <s v="Night"/>
    <x v="41"/>
    <x v="41"/>
    <n v="12"/>
    <x v="44"/>
    <x v="0"/>
  </r>
  <r>
    <s v="SCH00419"/>
    <d v="2026-07-06T00:00:00"/>
    <s v="Monday"/>
    <s v="Historical"/>
    <x v="9"/>
    <s v="Day"/>
    <x v="40"/>
    <x v="40"/>
    <n v="12"/>
    <x v="42"/>
    <x v="0"/>
  </r>
  <r>
    <s v="SCH00420"/>
    <d v="2026-07-06T00:00:00"/>
    <s v="Monday"/>
    <s v="Historical"/>
    <x v="9"/>
    <s v="Night"/>
    <x v="41"/>
    <x v="41"/>
    <n v="12"/>
    <x v="32"/>
    <x v="0"/>
  </r>
  <r>
    <s v="SCH00421"/>
    <d v="2026-07-07T00:00:00"/>
    <s v="Tuesday"/>
    <s v="Historical"/>
    <x v="0"/>
    <s v="Day"/>
    <x v="42"/>
    <x v="42"/>
    <n v="12"/>
    <x v="0"/>
    <x v="0"/>
  </r>
  <r>
    <s v="SCH00422"/>
    <d v="2026-07-07T00:00:00"/>
    <s v="Tuesday"/>
    <s v="Historical"/>
    <x v="0"/>
    <s v="Night"/>
    <x v="43"/>
    <x v="43"/>
    <n v="12"/>
    <x v="1"/>
    <x v="0"/>
  </r>
  <r>
    <s v="SCH00423"/>
    <d v="2026-07-07T00:00:00"/>
    <s v="Tuesday"/>
    <s v="Historical"/>
    <x v="1"/>
    <s v="Day"/>
    <x v="42"/>
    <x v="42"/>
    <n v="12"/>
    <x v="2"/>
    <x v="0"/>
  </r>
  <r>
    <s v="SCH00424"/>
    <d v="2026-07-07T00:00:00"/>
    <s v="Tuesday"/>
    <s v="Historical"/>
    <x v="1"/>
    <s v="Night"/>
    <x v="43"/>
    <x v="43"/>
    <n v="12"/>
    <x v="45"/>
    <x v="0"/>
  </r>
  <r>
    <s v="SCH00425"/>
    <d v="2026-07-07T00:00:00"/>
    <s v="Tuesday"/>
    <s v="Historical"/>
    <x v="2"/>
    <s v="Day"/>
    <x v="42"/>
    <x v="42"/>
    <n v="12"/>
    <x v="33"/>
    <x v="0"/>
  </r>
  <r>
    <s v="SCH00426"/>
    <d v="2026-07-07T00:00:00"/>
    <s v="Tuesday"/>
    <s v="Historical"/>
    <x v="2"/>
    <s v="Night"/>
    <x v="43"/>
    <x v="43"/>
    <n v="12"/>
    <x v="5"/>
    <x v="0"/>
  </r>
  <r>
    <s v="SCH00427"/>
    <d v="2026-07-07T00:00:00"/>
    <s v="Tuesday"/>
    <s v="Historical"/>
    <x v="3"/>
    <s v="Day"/>
    <x v="42"/>
    <x v="42"/>
    <n v="12"/>
    <x v="6"/>
    <x v="0"/>
  </r>
  <r>
    <s v="SCH00428"/>
    <d v="2026-07-07T00:00:00"/>
    <s v="Tuesday"/>
    <s v="Historical"/>
    <x v="3"/>
    <s v="Night"/>
    <x v="43"/>
    <x v="43"/>
    <n v="12"/>
    <x v="38"/>
    <x v="0"/>
  </r>
  <r>
    <s v="SCH00429"/>
    <d v="2026-07-07T00:00:00"/>
    <s v="Tuesday"/>
    <s v="Historical"/>
    <x v="4"/>
    <s v="Day"/>
    <x v="42"/>
    <x v="42"/>
    <n v="12"/>
    <x v="8"/>
    <x v="0"/>
  </r>
  <r>
    <s v="SCH00430"/>
    <d v="2026-07-07T00:00:00"/>
    <s v="Tuesday"/>
    <s v="Historical"/>
    <x v="4"/>
    <s v="Night"/>
    <x v="43"/>
    <x v="43"/>
    <n v="12"/>
    <x v="24"/>
    <x v="0"/>
  </r>
  <r>
    <s v="SCH00431"/>
    <d v="2026-07-07T00:00:00"/>
    <s v="Tuesday"/>
    <s v="Historical"/>
    <x v="5"/>
    <s v="Day"/>
    <x v="42"/>
    <x v="42"/>
    <n v="12"/>
    <x v="10"/>
    <x v="0"/>
  </r>
  <r>
    <s v="SCH00432"/>
    <d v="2026-07-07T00:00:00"/>
    <s v="Tuesday"/>
    <s v="Historical"/>
    <x v="5"/>
    <s v="Night"/>
    <x v="43"/>
    <x v="43"/>
    <n v="12"/>
    <x v="11"/>
    <x v="0"/>
  </r>
  <r>
    <s v="SCH00433"/>
    <d v="2026-07-07T00:00:00"/>
    <s v="Tuesday"/>
    <s v="Historical"/>
    <x v="6"/>
    <s v="Day"/>
    <x v="42"/>
    <x v="42"/>
    <n v="12"/>
    <x v="12"/>
    <x v="0"/>
  </r>
  <r>
    <s v="SCH00434"/>
    <d v="2026-07-07T00:00:00"/>
    <s v="Tuesday"/>
    <s v="Historical"/>
    <x v="6"/>
    <s v="Night"/>
    <x v="43"/>
    <x v="43"/>
    <n v="12"/>
    <x v="36"/>
    <x v="0"/>
  </r>
  <r>
    <s v="SCH00435"/>
    <d v="2026-07-07T00:00:00"/>
    <s v="Tuesday"/>
    <s v="Historical"/>
    <x v="7"/>
    <s v="Day"/>
    <x v="42"/>
    <x v="42"/>
    <n v="12"/>
    <x v="28"/>
    <x v="0"/>
  </r>
  <r>
    <s v="SCH00436"/>
    <d v="2026-07-07T00:00:00"/>
    <s v="Tuesday"/>
    <s v="Historical"/>
    <x v="7"/>
    <s v="Night"/>
    <x v="43"/>
    <x v="43"/>
    <n v="12"/>
    <x v="29"/>
    <x v="0"/>
  </r>
  <r>
    <s v="SCH00437"/>
    <d v="2026-07-07T00:00:00"/>
    <s v="Tuesday"/>
    <s v="Historical"/>
    <x v="8"/>
    <s v="Day"/>
    <x v="42"/>
    <x v="42"/>
    <n v="12"/>
    <x v="17"/>
    <x v="0"/>
  </r>
  <r>
    <s v="SCH00438"/>
    <d v="2026-07-07T00:00:00"/>
    <s v="Tuesday"/>
    <s v="Historical"/>
    <x v="8"/>
    <s v="Night"/>
    <x v="43"/>
    <x v="43"/>
    <n v="12"/>
    <x v="39"/>
    <x v="0"/>
  </r>
  <r>
    <s v="SCH00439"/>
    <d v="2026-07-07T00:00:00"/>
    <s v="Tuesday"/>
    <s v="Historical"/>
    <x v="9"/>
    <s v="Day"/>
    <x v="42"/>
    <x v="42"/>
    <n v="12"/>
    <x v="31"/>
    <x v="0"/>
  </r>
  <r>
    <s v="SCH00440"/>
    <d v="2026-07-07T00:00:00"/>
    <s v="Tuesday"/>
    <s v="Historical"/>
    <x v="9"/>
    <s v="Night"/>
    <x v="43"/>
    <x v="43"/>
    <n v="12"/>
    <x v="32"/>
    <x v="0"/>
  </r>
  <r>
    <s v="SCH00441"/>
    <d v="2026-07-08T00:00:00"/>
    <s v="Wednesday"/>
    <s v="Historical"/>
    <x v="0"/>
    <s v="Day"/>
    <x v="44"/>
    <x v="44"/>
    <n v="12"/>
    <x v="1"/>
    <x v="0"/>
  </r>
  <r>
    <s v="SCH00442"/>
    <d v="2026-07-08T00:00:00"/>
    <s v="Wednesday"/>
    <s v="Historical"/>
    <x v="0"/>
    <s v="Night"/>
    <x v="45"/>
    <x v="45"/>
    <n v="12"/>
    <x v="0"/>
    <x v="0"/>
  </r>
  <r>
    <s v="SCH00443"/>
    <d v="2026-07-08T00:00:00"/>
    <s v="Wednesday"/>
    <s v="Historical"/>
    <x v="1"/>
    <s v="Day"/>
    <x v="44"/>
    <x v="44"/>
    <n v="12"/>
    <x v="45"/>
    <x v="0"/>
  </r>
  <r>
    <s v="SCH00444"/>
    <d v="2026-07-08T00:00:00"/>
    <s v="Wednesday"/>
    <s v="Historical"/>
    <x v="1"/>
    <s v="Night"/>
    <x v="45"/>
    <x v="45"/>
    <n v="12"/>
    <x v="40"/>
    <x v="0"/>
  </r>
  <r>
    <s v="SCH00445"/>
    <d v="2026-07-08T00:00:00"/>
    <s v="Wednesday"/>
    <s v="Historical"/>
    <x v="2"/>
    <s v="Day"/>
    <x v="44"/>
    <x v="44"/>
    <n v="12"/>
    <x v="4"/>
    <x v="0"/>
  </r>
  <r>
    <s v="SCH00446"/>
    <d v="2026-07-08T00:00:00"/>
    <s v="Wednesday"/>
    <s v="Historical"/>
    <x v="2"/>
    <s v="Night"/>
    <x v="45"/>
    <x v="45"/>
    <n v="12"/>
    <x v="22"/>
    <x v="0"/>
  </r>
  <r>
    <s v="SCH00447"/>
    <d v="2026-07-08T00:00:00"/>
    <s v="Wednesday"/>
    <s v="Historical"/>
    <x v="3"/>
    <s v="Day"/>
    <x v="44"/>
    <x v="44"/>
    <n v="12"/>
    <x v="6"/>
    <x v="0"/>
  </r>
  <r>
    <s v="SCH00448"/>
    <d v="2026-07-08T00:00:00"/>
    <s v="Wednesday"/>
    <s v="Historical"/>
    <x v="3"/>
    <s v="Night"/>
    <x v="45"/>
    <x v="45"/>
    <n v="12"/>
    <x v="34"/>
    <x v="0"/>
  </r>
  <r>
    <s v="SCH00449"/>
    <d v="2026-07-08T00:00:00"/>
    <s v="Wednesday"/>
    <s v="Historical"/>
    <x v="4"/>
    <s v="Day"/>
    <x v="44"/>
    <x v="44"/>
    <n v="12"/>
    <x v="43"/>
    <x v="0"/>
  </r>
  <r>
    <s v="SCH00450"/>
    <d v="2026-07-08T00:00:00"/>
    <s v="Wednesday"/>
    <s v="Historical"/>
    <x v="4"/>
    <s v="Night"/>
    <x v="45"/>
    <x v="45"/>
    <n v="12"/>
    <x v="8"/>
    <x v="0"/>
  </r>
  <r>
    <s v="SCH00451"/>
    <d v="2026-07-08T00:00:00"/>
    <s v="Wednesday"/>
    <s v="Historical"/>
    <x v="5"/>
    <s v="Day"/>
    <x v="44"/>
    <x v="44"/>
    <n v="12"/>
    <x v="25"/>
    <x v="0"/>
  </r>
  <r>
    <s v="SCH00452"/>
    <d v="2026-07-08T00:00:00"/>
    <s v="Wednesday"/>
    <s v="Historical"/>
    <x v="5"/>
    <s v="Night"/>
    <x v="45"/>
    <x v="45"/>
    <n v="12"/>
    <x v="10"/>
    <x v="0"/>
  </r>
  <r>
    <s v="SCH00453"/>
    <d v="2026-07-08T00:00:00"/>
    <s v="Wednesday"/>
    <s v="Historical"/>
    <x v="6"/>
    <s v="Day"/>
    <x v="44"/>
    <x v="44"/>
    <n v="12"/>
    <x v="35"/>
    <x v="0"/>
  </r>
  <r>
    <s v="SCH00454"/>
    <d v="2026-07-08T00:00:00"/>
    <s v="Wednesday"/>
    <s v="Historical"/>
    <x v="6"/>
    <s v="Night"/>
    <x v="45"/>
    <x v="45"/>
    <n v="12"/>
    <x v="12"/>
    <x v="0"/>
  </r>
  <r>
    <s v="SCH00455"/>
    <d v="2026-07-08T00:00:00"/>
    <s v="Wednesday"/>
    <s v="Historical"/>
    <x v="7"/>
    <s v="Day"/>
    <x v="44"/>
    <x v="44"/>
    <n v="12"/>
    <x v="28"/>
    <x v="0"/>
  </r>
  <r>
    <s v="SCH00456"/>
    <d v="2026-07-08T00:00:00"/>
    <s v="Wednesday"/>
    <s v="Historical"/>
    <x v="7"/>
    <s v="Night"/>
    <x v="45"/>
    <x v="45"/>
    <n v="12"/>
    <x v="14"/>
    <x v="0"/>
  </r>
  <r>
    <s v="SCH00457"/>
    <d v="2026-07-08T00:00:00"/>
    <s v="Wednesday"/>
    <s v="Historical"/>
    <x v="8"/>
    <s v="Day"/>
    <x v="44"/>
    <x v="44"/>
    <n v="12"/>
    <x v="16"/>
    <x v="0"/>
  </r>
  <r>
    <s v="SCH00458"/>
    <d v="2026-07-08T00:00:00"/>
    <s v="Wednesday"/>
    <s v="Historical"/>
    <x v="8"/>
    <s v="Night"/>
    <x v="45"/>
    <x v="45"/>
    <n v="12"/>
    <x v="17"/>
    <x v="0"/>
  </r>
  <r>
    <s v="SCH00459"/>
    <d v="2026-07-08T00:00:00"/>
    <s v="Wednesday"/>
    <s v="Historical"/>
    <x v="9"/>
    <s v="Day"/>
    <x v="44"/>
    <x v="44"/>
    <n v="12"/>
    <x v="42"/>
    <x v="0"/>
  </r>
  <r>
    <s v="SCH00460"/>
    <d v="2026-07-08T00:00:00"/>
    <s v="Wednesday"/>
    <s v="Historical"/>
    <x v="9"/>
    <s v="Night"/>
    <x v="45"/>
    <x v="45"/>
    <n v="12"/>
    <x v="18"/>
    <x v="0"/>
  </r>
  <r>
    <s v="SCH00461"/>
    <d v="2026-07-09T00:00:00"/>
    <s v="Thursday"/>
    <s v="Historical"/>
    <x v="0"/>
    <s v="Day"/>
    <x v="46"/>
    <x v="46"/>
    <n v="12"/>
    <x v="20"/>
    <x v="0"/>
  </r>
  <r>
    <s v="SCH00462"/>
    <d v="2026-07-09T00:00:00"/>
    <s v="Thursday"/>
    <s v="Historical"/>
    <x v="0"/>
    <s v="Night"/>
    <x v="47"/>
    <x v="47"/>
    <n v="12"/>
    <x v="0"/>
    <x v="0"/>
  </r>
  <r>
    <s v="SCH00463"/>
    <d v="2026-07-09T00:00:00"/>
    <s v="Thursday"/>
    <s v="Historical"/>
    <x v="1"/>
    <s v="Day"/>
    <x v="46"/>
    <x v="46"/>
    <n v="12"/>
    <x v="45"/>
    <x v="0"/>
  </r>
  <r>
    <s v="SCH00464"/>
    <d v="2026-07-09T00:00:00"/>
    <s v="Thursday"/>
    <s v="Historical"/>
    <x v="1"/>
    <s v="Night"/>
    <x v="47"/>
    <x v="47"/>
    <n v="12"/>
    <x v="2"/>
    <x v="0"/>
  </r>
  <r>
    <s v="SCH00465"/>
    <d v="2026-07-09T00:00:00"/>
    <s v="Thursday"/>
    <s v="Historical"/>
    <x v="2"/>
    <s v="Day"/>
    <x v="46"/>
    <x v="46"/>
    <n v="12"/>
    <x v="37"/>
    <x v="0"/>
  </r>
  <r>
    <s v="SCH00466"/>
    <d v="2026-07-09T00:00:00"/>
    <s v="Thursday"/>
    <s v="Historical"/>
    <x v="2"/>
    <s v="Night"/>
    <x v="47"/>
    <x v="47"/>
    <n v="12"/>
    <x v="22"/>
    <x v="0"/>
  </r>
  <r>
    <s v="SCH00467"/>
    <d v="2026-07-09T00:00:00"/>
    <s v="Thursday"/>
    <s v="Historical"/>
    <x v="3"/>
    <s v="Day"/>
    <x v="46"/>
    <x v="46"/>
    <n v="12"/>
    <x v="34"/>
    <x v="0"/>
  </r>
  <r>
    <s v="SCH00468"/>
    <d v="2026-07-09T00:00:00"/>
    <s v="Thursday"/>
    <s v="Historical"/>
    <x v="3"/>
    <s v="Night"/>
    <x v="47"/>
    <x v="47"/>
    <n v="12"/>
    <x v="7"/>
    <x v="0"/>
  </r>
  <r>
    <s v="SCH00469"/>
    <d v="2026-07-09T00:00:00"/>
    <s v="Thursday"/>
    <s v="Historical"/>
    <x v="4"/>
    <s v="Day"/>
    <x v="46"/>
    <x v="46"/>
    <n v="12"/>
    <x v="24"/>
    <x v="0"/>
  </r>
  <r>
    <s v="SCH00470"/>
    <d v="2026-07-09T00:00:00"/>
    <s v="Thursday"/>
    <s v="Historical"/>
    <x v="4"/>
    <s v="Night"/>
    <x v="47"/>
    <x v="47"/>
    <n v="12"/>
    <x v="9"/>
    <x v="0"/>
  </r>
  <r>
    <s v="SCH00471"/>
    <d v="2026-07-09T00:00:00"/>
    <s v="Thursday"/>
    <s v="Historical"/>
    <x v="5"/>
    <s v="Day"/>
    <x v="46"/>
    <x v="46"/>
    <n v="12"/>
    <x v="26"/>
    <x v="0"/>
  </r>
  <r>
    <s v="SCH00472"/>
    <d v="2026-07-09T00:00:00"/>
    <s v="Thursday"/>
    <s v="Historical"/>
    <x v="5"/>
    <s v="Night"/>
    <x v="47"/>
    <x v="47"/>
    <n v="12"/>
    <x v="11"/>
    <x v="0"/>
  </r>
  <r>
    <s v="SCH00473"/>
    <d v="2026-07-09T00:00:00"/>
    <s v="Thursday"/>
    <s v="Historical"/>
    <x v="6"/>
    <s v="Day"/>
    <x v="46"/>
    <x v="46"/>
    <n v="12"/>
    <x v="35"/>
    <x v="0"/>
  </r>
  <r>
    <s v="SCH00474"/>
    <d v="2026-07-09T00:00:00"/>
    <s v="Thursday"/>
    <s v="Historical"/>
    <x v="6"/>
    <s v="Night"/>
    <x v="47"/>
    <x v="47"/>
    <n v="12"/>
    <x v="13"/>
    <x v="0"/>
  </r>
  <r>
    <s v="SCH00475"/>
    <d v="2026-07-09T00:00:00"/>
    <s v="Thursday"/>
    <s v="Historical"/>
    <x v="7"/>
    <s v="Day"/>
    <x v="46"/>
    <x v="46"/>
    <n v="12"/>
    <x v="15"/>
    <x v="0"/>
  </r>
  <r>
    <s v="SCH00476"/>
    <d v="2026-07-09T00:00:00"/>
    <s v="Thursday"/>
    <s v="Historical"/>
    <x v="7"/>
    <s v="Night"/>
    <x v="47"/>
    <x v="47"/>
    <n v="12"/>
    <x v="14"/>
    <x v="0"/>
  </r>
  <r>
    <s v="SCH00477"/>
    <d v="2026-07-09T00:00:00"/>
    <s v="Thursday"/>
    <s v="Historical"/>
    <x v="8"/>
    <s v="Day"/>
    <x v="46"/>
    <x v="46"/>
    <n v="12"/>
    <x v="30"/>
    <x v="0"/>
  </r>
  <r>
    <s v="SCH00478"/>
    <d v="2026-07-09T00:00:00"/>
    <s v="Thursday"/>
    <s v="Historical"/>
    <x v="8"/>
    <s v="Night"/>
    <x v="47"/>
    <x v="47"/>
    <n v="12"/>
    <x v="39"/>
    <x v="0"/>
  </r>
  <r>
    <s v="SCH00479"/>
    <d v="2026-07-09T00:00:00"/>
    <s v="Thursday"/>
    <s v="Historical"/>
    <x v="9"/>
    <s v="Day"/>
    <x v="46"/>
    <x v="46"/>
    <n v="12"/>
    <x v="19"/>
    <x v="0"/>
  </r>
  <r>
    <s v="SCH00480"/>
    <d v="2026-07-09T00:00:00"/>
    <s v="Thursday"/>
    <s v="Historical"/>
    <x v="9"/>
    <s v="Night"/>
    <x v="47"/>
    <x v="47"/>
    <n v="12"/>
    <x v="42"/>
    <x v="0"/>
  </r>
  <r>
    <s v="SCH00481"/>
    <d v="2026-07-10T00:00:00"/>
    <s v="Friday"/>
    <s v="Historical"/>
    <x v="0"/>
    <s v="Day"/>
    <x v="48"/>
    <x v="48"/>
    <n v="12"/>
    <x v="0"/>
    <x v="0"/>
  </r>
  <r>
    <s v="SCH00482"/>
    <d v="2026-07-10T00:00:00"/>
    <s v="Friday"/>
    <s v="Historical"/>
    <x v="0"/>
    <s v="Night"/>
    <x v="49"/>
    <x v="49"/>
    <n v="12"/>
    <x v="1"/>
    <x v="0"/>
  </r>
  <r>
    <s v="SCH00483"/>
    <d v="2026-07-10T00:00:00"/>
    <s v="Friday"/>
    <s v="Historical"/>
    <x v="1"/>
    <s v="Day"/>
    <x v="48"/>
    <x v="48"/>
    <n v="12"/>
    <x v="2"/>
    <x v="0"/>
  </r>
  <r>
    <s v="SCH00484"/>
    <d v="2026-07-10T00:00:00"/>
    <s v="Friday"/>
    <s v="Historical"/>
    <x v="1"/>
    <s v="Night"/>
    <x v="49"/>
    <x v="49"/>
    <n v="12"/>
    <x v="40"/>
    <x v="0"/>
  </r>
  <r>
    <s v="SCH00485"/>
    <d v="2026-07-10T00:00:00"/>
    <s v="Friday"/>
    <s v="Historical"/>
    <x v="2"/>
    <s v="Day"/>
    <x v="48"/>
    <x v="48"/>
    <n v="12"/>
    <x v="4"/>
    <x v="0"/>
  </r>
  <r>
    <s v="SCH00486"/>
    <d v="2026-07-10T00:00:00"/>
    <s v="Friday"/>
    <s v="Historical"/>
    <x v="2"/>
    <s v="Night"/>
    <x v="49"/>
    <x v="49"/>
    <n v="12"/>
    <x v="5"/>
    <x v="0"/>
  </r>
  <r>
    <s v="SCH00487"/>
    <d v="2026-07-10T00:00:00"/>
    <s v="Friday"/>
    <s v="Historical"/>
    <x v="3"/>
    <s v="Day"/>
    <x v="48"/>
    <x v="48"/>
    <n v="12"/>
    <x v="38"/>
    <x v="0"/>
  </r>
  <r>
    <s v="SCH00488"/>
    <d v="2026-07-10T00:00:00"/>
    <s v="Friday"/>
    <s v="Historical"/>
    <x v="3"/>
    <s v="Night"/>
    <x v="49"/>
    <x v="49"/>
    <n v="12"/>
    <x v="6"/>
    <x v="0"/>
  </r>
  <r>
    <s v="SCH00489"/>
    <d v="2026-07-10T00:00:00"/>
    <s v="Friday"/>
    <s v="Historical"/>
    <x v="4"/>
    <s v="Day"/>
    <x v="48"/>
    <x v="48"/>
    <n v="12"/>
    <x v="43"/>
    <x v="0"/>
  </r>
  <r>
    <s v="SCH00490"/>
    <d v="2026-07-10T00:00:00"/>
    <s v="Friday"/>
    <s v="Historical"/>
    <x v="4"/>
    <s v="Night"/>
    <x v="49"/>
    <x v="49"/>
    <n v="12"/>
    <x v="9"/>
    <x v="0"/>
  </r>
  <r>
    <s v="SCH00491"/>
    <d v="2026-07-10T00:00:00"/>
    <s v="Friday"/>
    <s v="Historical"/>
    <x v="5"/>
    <s v="Day"/>
    <x v="48"/>
    <x v="48"/>
    <n v="12"/>
    <x v="11"/>
    <x v="0"/>
  </r>
  <r>
    <s v="SCH00492"/>
    <d v="2026-07-10T00:00:00"/>
    <s v="Friday"/>
    <s v="Historical"/>
    <x v="5"/>
    <s v="Night"/>
    <x v="49"/>
    <x v="49"/>
    <n v="12"/>
    <x v="26"/>
    <x v="0"/>
  </r>
  <r>
    <s v="SCH00493"/>
    <d v="2026-07-10T00:00:00"/>
    <s v="Friday"/>
    <s v="Historical"/>
    <x v="6"/>
    <s v="Day"/>
    <x v="48"/>
    <x v="48"/>
    <n v="12"/>
    <x v="35"/>
    <x v="0"/>
  </r>
  <r>
    <s v="SCH00494"/>
    <d v="2026-07-10T00:00:00"/>
    <s v="Friday"/>
    <s v="Historical"/>
    <x v="6"/>
    <s v="Night"/>
    <x v="49"/>
    <x v="49"/>
    <n v="12"/>
    <x v="13"/>
    <x v="0"/>
  </r>
  <r>
    <s v="SCH00495"/>
    <d v="2026-07-10T00:00:00"/>
    <s v="Friday"/>
    <s v="Historical"/>
    <x v="7"/>
    <s v="Day"/>
    <x v="48"/>
    <x v="48"/>
    <n v="12"/>
    <x v="14"/>
    <x v="0"/>
  </r>
  <r>
    <s v="SCH00496"/>
    <d v="2026-07-10T00:00:00"/>
    <s v="Friday"/>
    <s v="Historical"/>
    <x v="7"/>
    <s v="Night"/>
    <x v="49"/>
    <x v="49"/>
    <n v="12"/>
    <x v="15"/>
    <x v="0"/>
  </r>
  <r>
    <s v="SCH00497"/>
    <d v="2026-07-10T00:00:00"/>
    <s v="Friday"/>
    <s v="Historical"/>
    <x v="8"/>
    <s v="Day"/>
    <x v="48"/>
    <x v="48"/>
    <n v="12"/>
    <x v="44"/>
    <x v="0"/>
  </r>
  <r>
    <s v="SCH00498"/>
    <d v="2026-07-10T00:00:00"/>
    <s v="Friday"/>
    <s v="Historical"/>
    <x v="8"/>
    <s v="Night"/>
    <x v="49"/>
    <x v="49"/>
    <n v="12"/>
    <x v="17"/>
    <x v="0"/>
  </r>
  <r>
    <s v="SCH00499"/>
    <d v="2026-07-10T00:00:00"/>
    <s v="Friday"/>
    <s v="Historical"/>
    <x v="9"/>
    <s v="Day"/>
    <x v="48"/>
    <x v="48"/>
    <n v="12"/>
    <x v="19"/>
    <x v="0"/>
  </r>
  <r>
    <s v="SCH00500"/>
    <d v="2026-07-10T00:00:00"/>
    <s v="Friday"/>
    <s v="Historical"/>
    <x v="9"/>
    <s v="Night"/>
    <x v="49"/>
    <x v="49"/>
    <n v="12"/>
    <x v="32"/>
    <x v="0"/>
  </r>
  <r>
    <s v="SCH00501"/>
    <d v="2026-07-11T00:00:00"/>
    <s v="Saturday"/>
    <s v="Historical"/>
    <x v="0"/>
    <s v="Day"/>
    <x v="50"/>
    <x v="50"/>
    <n v="12"/>
    <x v="0"/>
    <x v="0"/>
  </r>
  <r>
    <s v="SCH00502"/>
    <d v="2026-07-11T00:00:00"/>
    <s v="Saturday"/>
    <s v="Historical"/>
    <x v="0"/>
    <s v="Night"/>
    <x v="51"/>
    <x v="51"/>
    <n v="12"/>
    <x v="1"/>
    <x v="0"/>
  </r>
  <r>
    <s v="SCH00503"/>
    <d v="2026-07-11T00:00:00"/>
    <s v="Saturday"/>
    <s v="Historical"/>
    <x v="1"/>
    <s v="Day"/>
    <x v="50"/>
    <x v="50"/>
    <n v="12"/>
    <x v="3"/>
    <x v="0"/>
  </r>
  <r>
    <s v="SCH00504"/>
    <d v="2026-07-11T00:00:00"/>
    <s v="Saturday"/>
    <s v="Historical"/>
    <x v="1"/>
    <s v="Night"/>
    <x v="51"/>
    <x v="51"/>
    <n v="12"/>
    <x v="40"/>
    <x v="0"/>
  </r>
  <r>
    <s v="SCH00505"/>
    <d v="2026-07-11T00:00:00"/>
    <s v="Saturday"/>
    <s v="Historical"/>
    <x v="2"/>
    <s v="Day"/>
    <x v="50"/>
    <x v="50"/>
    <n v="12"/>
    <x v="5"/>
    <x v="0"/>
  </r>
  <r>
    <s v="SCH00506"/>
    <d v="2026-07-11T00:00:00"/>
    <s v="Saturday"/>
    <s v="Historical"/>
    <x v="2"/>
    <s v="Night"/>
    <x v="51"/>
    <x v="51"/>
    <n v="12"/>
    <x v="37"/>
    <x v="0"/>
  </r>
  <r>
    <s v="SCH00507"/>
    <d v="2026-07-11T00:00:00"/>
    <s v="Saturday"/>
    <s v="Historical"/>
    <x v="3"/>
    <s v="Day"/>
    <x v="50"/>
    <x v="50"/>
    <n v="12"/>
    <x v="7"/>
    <x v="0"/>
  </r>
  <r>
    <s v="SCH00508"/>
    <d v="2026-07-11T00:00:00"/>
    <s v="Saturday"/>
    <s v="Historical"/>
    <x v="3"/>
    <s v="Night"/>
    <x v="51"/>
    <x v="51"/>
    <n v="12"/>
    <x v="38"/>
    <x v="0"/>
  </r>
  <r>
    <s v="SCH00509"/>
    <d v="2026-07-11T00:00:00"/>
    <s v="Saturday"/>
    <s v="Historical"/>
    <x v="4"/>
    <s v="Day"/>
    <x v="50"/>
    <x v="50"/>
    <n v="12"/>
    <x v="8"/>
    <x v="0"/>
  </r>
  <r>
    <s v="SCH00510"/>
    <d v="2026-07-11T00:00:00"/>
    <s v="Saturday"/>
    <s v="Historical"/>
    <x v="4"/>
    <s v="Night"/>
    <x v="51"/>
    <x v="51"/>
    <n v="12"/>
    <x v="43"/>
    <x v="0"/>
  </r>
  <r>
    <s v="SCH00511"/>
    <d v="2026-07-11T00:00:00"/>
    <s v="Saturday"/>
    <s v="Historical"/>
    <x v="5"/>
    <s v="Day"/>
    <x v="50"/>
    <x v="50"/>
    <n v="12"/>
    <x v="26"/>
    <x v="0"/>
  </r>
  <r>
    <s v="SCH00512"/>
    <d v="2026-07-11T00:00:00"/>
    <s v="Saturday"/>
    <s v="Historical"/>
    <x v="5"/>
    <s v="Night"/>
    <x v="51"/>
    <x v="51"/>
    <n v="12"/>
    <x v="41"/>
    <x v="0"/>
  </r>
  <r>
    <s v="SCH00513"/>
    <d v="2026-07-11T00:00:00"/>
    <s v="Saturday"/>
    <s v="Historical"/>
    <x v="6"/>
    <s v="Day"/>
    <x v="50"/>
    <x v="50"/>
    <n v="12"/>
    <x v="12"/>
    <x v="0"/>
  </r>
  <r>
    <s v="SCH00514"/>
    <d v="2026-07-11T00:00:00"/>
    <s v="Saturday"/>
    <s v="Historical"/>
    <x v="6"/>
    <s v="Night"/>
    <x v="51"/>
    <x v="51"/>
    <n v="12"/>
    <x v="35"/>
    <x v="0"/>
  </r>
  <r>
    <s v="SCH00515"/>
    <d v="2026-07-11T00:00:00"/>
    <s v="Saturday"/>
    <s v="Historical"/>
    <x v="7"/>
    <s v="Day"/>
    <x v="50"/>
    <x v="50"/>
    <n v="12"/>
    <x v="14"/>
    <x v="0"/>
  </r>
  <r>
    <s v="SCH00516"/>
    <d v="2026-07-11T00:00:00"/>
    <s v="Saturday"/>
    <s v="Historical"/>
    <x v="7"/>
    <s v="Night"/>
    <x v="51"/>
    <x v="51"/>
    <n v="12"/>
    <x v="15"/>
    <x v="0"/>
  </r>
  <r>
    <s v="SCH00517"/>
    <d v="2026-07-11T00:00:00"/>
    <s v="Saturday"/>
    <s v="Historical"/>
    <x v="8"/>
    <s v="Day"/>
    <x v="50"/>
    <x v="50"/>
    <n v="12"/>
    <x v="44"/>
    <x v="0"/>
  </r>
  <r>
    <s v="SCH00518"/>
    <d v="2026-07-11T00:00:00"/>
    <s v="Saturday"/>
    <s v="Historical"/>
    <x v="8"/>
    <s v="Night"/>
    <x v="51"/>
    <x v="51"/>
    <n v="12"/>
    <x v="30"/>
    <x v="0"/>
  </r>
  <r>
    <s v="SCH00519"/>
    <d v="2026-07-11T00:00:00"/>
    <s v="Saturday"/>
    <s v="Historical"/>
    <x v="9"/>
    <s v="Day"/>
    <x v="50"/>
    <x v="50"/>
    <n v="12"/>
    <x v="18"/>
    <x v="0"/>
  </r>
  <r>
    <s v="SCH00520"/>
    <d v="2026-07-11T00:00:00"/>
    <s v="Saturday"/>
    <s v="Historical"/>
    <x v="9"/>
    <s v="Night"/>
    <x v="51"/>
    <x v="51"/>
    <n v="12"/>
    <x v="31"/>
    <x v="0"/>
  </r>
  <r>
    <s v="SCH00521"/>
    <d v="2026-07-12T00:00:00"/>
    <s v="Sunday"/>
    <s v="Historical"/>
    <x v="0"/>
    <s v="Day"/>
    <x v="52"/>
    <x v="52"/>
    <n v="12"/>
    <x v="1"/>
    <x v="0"/>
  </r>
  <r>
    <s v="SCH00522"/>
    <d v="2026-07-12T00:00:00"/>
    <s v="Sunday"/>
    <s v="Historical"/>
    <x v="0"/>
    <s v="Night"/>
    <x v="53"/>
    <x v="53"/>
    <n v="12"/>
    <x v="20"/>
    <x v="0"/>
  </r>
  <r>
    <s v="SCH00523"/>
    <d v="2026-07-12T00:00:00"/>
    <s v="Sunday"/>
    <s v="Historical"/>
    <x v="1"/>
    <s v="Day"/>
    <x v="52"/>
    <x v="52"/>
    <n v="12"/>
    <x v="2"/>
    <x v="0"/>
  </r>
  <r>
    <s v="SCH00524"/>
    <d v="2026-07-12T00:00:00"/>
    <s v="Sunday"/>
    <s v="Historical"/>
    <x v="1"/>
    <s v="Night"/>
    <x v="53"/>
    <x v="53"/>
    <n v="12"/>
    <x v="21"/>
    <x v="0"/>
  </r>
  <r>
    <s v="SCH00525"/>
    <d v="2026-07-12T00:00:00"/>
    <s v="Sunday"/>
    <s v="Historical"/>
    <x v="2"/>
    <s v="Day"/>
    <x v="52"/>
    <x v="52"/>
    <n v="12"/>
    <x v="33"/>
    <x v="0"/>
  </r>
  <r>
    <s v="SCH00526"/>
    <d v="2026-07-12T00:00:00"/>
    <s v="Sunday"/>
    <s v="Historical"/>
    <x v="2"/>
    <s v="Night"/>
    <x v="53"/>
    <x v="53"/>
    <n v="12"/>
    <x v="4"/>
    <x v="0"/>
  </r>
  <r>
    <s v="SCH00527"/>
    <d v="2026-07-12T00:00:00"/>
    <s v="Sunday"/>
    <s v="Historical"/>
    <x v="3"/>
    <s v="Day"/>
    <x v="52"/>
    <x v="52"/>
    <n v="12"/>
    <x v="38"/>
    <x v="0"/>
  </r>
  <r>
    <s v="SCH00528"/>
    <d v="2026-07-12T00:00:00"/>
    <s v="Sunday"/>
    <s v="Historical"/>
    <x v="3"/>
    <s v="Night"/>
    <x v="53"/>
    <x v="53"/>
    <n v="12"/>
    <x v="7"/>
    <x v="0"/>
  </r>
  <r>
    <s v="SCH00529"/>
    <d v="2026-07-12T00:00:00"/>
    <s v="Sunday"/>
    <s v="Historical"/>
    <x v="4"/>
    <s v="Day"/>
    <x v="52"/>
    <x v="52"/>
    <n v="12"/>
    <x v="9"/>
    <x v="0"/>
  </r>
  <r>
    <s v="SCH00530"/>
    <d v="2026-07-12T00:00:00"/>
    <s v="Sunday"/>
    <s v="Historical"/>
    <x v="4"/>
    <s v="Night"/>
    <x v="53"/>
    <x v="53"/>
    <n v="12"/>
    <x v="8"/>
    <x v="0"/>
  </r>
  <r>
    <s v="SCH00531"/>
    <d v="2026-07-12T00:00:00"/>
    <s v="Sunday"/>
    <s v="Historical"/>
    <x v="5"/>
    <s v="Day"/>
    <x v="52"/>
    <x v="52"/>
    <n v="12"/>
    <x v="26"/>
    <x v="0"/>
  </r>
  <r>
    <s v="SCH00532"/>
    <d v="2026-07-12T00:00:00"/>
    <s v="Sunday"/>
    <s v="Historical"/>
    <x v="5"/>
    <s v="Night"/>
    <x v="53"/>
    <x v="53"/>
    <n v="12"/>
    <x v="25"/>
    <x v="0"/>
  </r>
  <r>
    <s v="SCH00533"/>
    <d v="2026-07-12T00:00:00"/>
    <s v="Sunday"/>
    <s v="Historical"/>
    <x v="6"/>
    <s v="Day"/>
    <x v="52"/>
    <x v="52"/>
    <n v="12"/>
    <x v="12"/>
    <x v="0"/>
  </r>
  <r>
    <s v="SCH00534"/>
    <d v="2026-07-12T00:00:00"/>
    <s v="Sunday"/>
    <s v="Historical"/>
    <x v="6"/>
    <s v="Night"/>
    <x v="53"/>
    <x v="53"/>
    <n v="12"/>
    <x v="36"/>
    <x v="0"/>
  </r>
  <r>
    <s v="SCH00535"/>
    <d v="2026-07-12T00:00:00"/>
    <s v="Sunday"/>
    <s v="Historical"/>
    <x v="7"/>
    <s v="Day"/>
    <x v="52"/>
    <x v="52"/>
    <n v="12"/>
    <x v="14"/>
    <x v="0"/>
  </r>
  <r>
    <s v="SCH00536"/>
    <d v="2026-07-12T00:00:00"/>
    <s v="Sunday"/>
    <s v="Historical"/>
    <x v="7"/>
    <s v="Night"/>
    <x v="53"/>
    <x v="53"/>
    <n v="12"/>
    <x v="29"/>
    <x v="0"/>
  </r>
  <r>
    <s v="SCH00537"/>
    <d v="2026-07-12T00:00:00"/>
    <s v="Sunday"/>
    <s v="Historical"/>
    <x v="8"/>
    <s v="Day"/>
    <x v="52"/>
    <x v="52"/>
    <n v="12"/>
    <x v="16"/>
    <x v="0"/>
  </r>
  <r>
    <s v="SCH00538"/>
    <d v="2026-07-12T00:00:00"/>
    <s v="Sunday"/>
    <s v="Historical"/>
    <x v="8"/>
    <s v="Night"/>
    <x v="53"/>
    <x v="53"/>
    <n v="12"/>
    <x v="17"/>
    <x v="0"/>
  </r>
  <r>
    <s v="SCH00539"/>
    <d v="2026-07-12T00:00:00"/>
    <s v="Sunday"/>
    <s v="Historical"/>
    <x v="9"/>
    <s v="Day"/>
    <x v="52"/>
    <x v="52"/>
    <n v="12"/>
    <x v="32"/>
    <x v="0"/>
  </r>
  <r>
    <s v="SCH00540"/>
    <d v="2026-07-12T00:00:00"/>
    <s v="Sunday"/>
    <s v="Historical"/>
    <x v="9"/>
    <s v="Night"/>
    <x v="53"/>
    <x v="53"/>
    <n v="12"/>
    <x v="31"/>
    <x v="0"/>
  </r>
  <r>
    <s v="SCH00541"/>
    <d v="2026-07-13T00:00:00"/>
    <s v="Monday"/>
    <s v="Historical"/>
    <x v="0"/>
    <s v="Day"/>
    <x v="54"/>
    <x v="54"/>
    <n v="12"/>
    <x v="0"/>
    <x v="0"/>
  </r>
  <r>
    <s v="SCH00542"/>
    <d v="2026-07-13T00:00:00"/>
    <s v="Monday"/>
    <s v="Historical"/>
    <x v="0"/>
    <s v="Night"/>
    <x v="55"/>
    <x v="55"/>
    <n v="12"/>
    <x v="1"/>
    <x v="0"/>
  </r>
  <r>
    <s v="SCH00543"/>
    <d v="2026-07-13T00:00:00"/>
    <s v="Monday"/>
    <s v="Historical"/>
    <x v="1"/>
    <s v="Day"/>
    <x v="54"/>
    <x v="54"/>
    <n v="12"/>
    <x v="21"/>
    <x v="0"/>
  </r>
  <r>
    <s v="SCH00544"/>
    <d v="2026-07-13T00:00:00"/>
    <s v="Monday"/>
    <s v="Historical"/>
    <x v="1"/>
    <s v="Night"/>
    <x v="55"/>
    <x v="55"/>
    <n v="12"/>
    <x v="2"/>
    <x v="0"/>
  </r>
  <r>
    <s v="SCH00545"/>
    <d v="2026-07-13T00:00:00"/>
    <s v="Monday"/>
    <s v="Historical"/>
    <x v="2"/>
    <s v="Day"/>
    <x v="54"/>
    <x v="54"/>
    <n v="12"/>
    <x v="22"/>
    <x v="0"/>
  </r>
  <r>
    <s v="SCH00546"/>
    <d v="2026-07-13T00:00:00"/>
    <s v="Monday"/>
    <s v="Historical"/>
    <x v="2"/>
    <s v="Night"/>
    <x v="55"/>
    <x v="55"/>
    <n v="12"/>
    <x v="5"/>
    <x v="0"/>
  </r>
  <r>
    <s v="SCH00547"/>
    <d v="2026-07-13T00:00:00"/>
    <s v="Monday"/>
    <s v="Historical"/>
    <x v="3"/>
    <s v="Day"/>
    <x v="54"/>
    <x v="54"/>
    <n v="12"/>
    <x v="7"/>
    <x v="0"/>
  </r>
  <r>
    <s v="SCH00548"/>
    <d v="2026-07-13T00:00:00"/>
    <s v="Monday"/>
    <s v="Historical"/>
    <x v="3"/>
    <s v="Night"/>
    <x v="55"/>
    <x v="55"/>
    <n v="12"/>
    <x v="6"/>
    <x v="0"/>
  </r>
  <r>
    <s v="SCH00549"/>
    <d v="2026-07-13T00:00:00"/>
    <s v="Monday"/>
    <s v="Historical"/>
    <x v="4"/>
    <s v="Day"/>
    <x v="54"/>
    <x v="54"/>
    <n v="12"/>
    <x v="43"/>
    <x v="0"/>
  </r>
  <r>
    <s v="SCH00550"/>
    <d v="2026-07-13T00:00:00"/>
    <s v="Monday"/>
    <s v="Historical"/>
    <x v="4"/>
    <s v="Night"/>
    <x v="55"/>
    <x v="55"/>
    <n v="12"/>
    <x v="24"/>
    <x v="0"/>
  </r>
  <r>
    <s v="SCH00551"/>
    <d v="2026-07-13T00:00:00"/>
    <s v="Monday"/>
    <s v="Historical"/>
    <x v="5"/>
    <s v="Day"/>
    <x v="54"/>
    <x v="54"/>
    <n v="12"/>
    <x v="11"/>
    <x v="0"/>
  </r>
  <r>
    <s v="SCH00552"/>
    <d v="2026-07-13T00:00:00"/>
    <s v="Monday"/>
    <s v="Historical"/>
    <x v="5"/>
    <s v="Night"/>
    <x v="55"/>
    <x v="55"/>
    <n v="12"/>
    <x v="25"/>
    <x v="0"/>
  </r>
  <r>
    <s v="SCH00553"/>
    <d v="2026-07-13T00:00:00"/>
    <s v="Monday"/>
    <s v="Historical"/>
    <x v="6"/>
    <s v="Day"/>
    <x v="54"/>
    <x v="54"/>
    <n v="12"/>
    <x v="35"/>
    <x v="0"/>
  </r>
  <r>
    <s v="SCH00554"/>
    <d v="2026-07-13T00:00:00"/>
    <s v="Monday"/>
    <s v="Historical"/>
    <x v="6"/>
    <s v="Night"/>
    <x v="55"/>
    <x v="55"/>
    <n v="12"/>
    <x v="27"/>
    <x v="0"/>
  </r>
  <r>
    <s v="SCH00555"/>
    <d v="2026-07-13T00:00:00"/>
    <s v="Monday"/>
    <s v="Historical"/>
    <x v="7"/>
    <s v="Day"/>
    <x v="54"/>
    <x v="54"/>
    <n v="12"/>
    <x v="14"/>
    <x v="0"/>
  </r>
  <r>
    <s v="SCH00556"/>
    <d v="2026-07-13T00:00:00"/>
    <s v="Monday"/>
    <s v="Historical"/>
    <x v="7"/>
    <s v="Night"/>
    <x v="55"/>
    <x v="55"/>
    <n v="12"/>
    <x v="29"/>
    <x v="0"/>
  </r>
  <r>
    <s v="SCH00557"/>
    <d v="2026-07-13T00:00:00"/>
    <s v="Monday"/>
    <s v="Historical"/>
    <x v="8"/>
    <s v="Day"/>
    <x v="54"/>
    <x v="54"/>
    <n v="12"/>
    <x v="16"/>
    <x v="0"/>
  </r>
  <r>
    <s v="SCH00558"/>
    <d v="2026-07-13T00:00:00"/>
    <s v="Monday"/>
    <s v="Historical"/>
    <x v="8"/>
    <s v="Night"/>
    <x v="55"/>
    <x v="55"/>
    <n v="12"/>
    <x v="39"/>
    <x v="0"/>
  </r>
  <r>
    <s v="SCH00559"/>
    <d v="2026-07-13T00:00:00"/>
    <s v="Monday"/>
    <s v="Historical"/>
    <x v="9"/>
    <s v="Day"/>
    <x v="54"/>
    <x v="54"/>
    <n v="12"/>
    <x v="18"/>
    <x v="0"/>
  </r>
  <r>
    <s v="SCH00560"/>
    <d v="2026-07-13T00:00:00"/>
    <s v="Monday"/>
    <s v="Historical"/>
    <x v="9"/>
    <s v="Night"/>
    <x v="55"/>
    <x v="55"/>
    <n v="12"/>
    <x v="19"/>
    <x v="0"/>
  </r>
  <r>
    <s v="SCH00561"/>
    <d v="2026-07-14T00:00:00"/>
    <s v="Tuesday"/>
    <s v="Historical"/>
    <x v="0"/>
    <s v="Day"/>
    <x v="56"/>
    <x v="56"/>
    <n v="12"/>
    <x v="1"/>
    <x v="0"/>
  </r>
  <r>
    <s v="SCH00562"/>
    <d v="2026-07-14T00:00:00"/>
    <s v="Tuesday"/>
    <s v="Historical"/>
    <x v="0"/>
    <s v="Night"/>
    <x v="57"/>
    <x v="57"/>
    <n v="12"/>
    <x v="20"/>
    <x v="0"/>
  </r>
  <r>
    <s v="SCH00563"/>
    <d v="2026-07-14T00:00:00"/>
    <s v="Tuesday"/>
    <s v="Historical"/>
    <x v="1"/>
    <s v="Day"/>
    <x v="56"/>
    <x v="56"/>
    <n v="12"/>
    <x v="3"/>
    <x v="0"/>
  </r>
  <r>
    <s v="SCH00564"/>
    <d v="2026-07-14T00:00:00"/>
    <s v="Tuesday"/>
    <s v="Historical"/>
    <x v="1"/>
    <s v="Night"/>
    <x v="57"/>
    <x v="57"/>
    <n v="12"/>
    <x v="45"/>
    <x v="0"/>
  </r>
  <r>
    <s v="SCH00565"/>
    <d v="2026-07-14T00:00:00"/>
    <s v="Tuesday"/>
    <s v="Historical"/>
    <x v="2"/>
    <s v="Day"/>
    <x v="56"/>
    <x v="56"/>
    <n v="12"/>
    <x v="33"/>
    <x v="0"/>
  </r>
  <r>
    <s v="SCH00566"/>
    <d v="2026-07-14T00:00:00"/>
    <s v="Tuesday"/>
    <s v="Historical"/>
    <x v="2"/>
    <s v="Night"/>
    <x v="57"/>
    <x v="57"/>
    <n v="12"/>
    <x v="4"/>
    <x v="0"/>
  </r>
  <r>
    <s v="SCH00567"/>
    <d v="2026-07-14T00:00:00"/>
    <s v="Tuesday"/>
    <s v="Historical"/>
    <x v="3"/>
    <s v="Day"/>
    <x v="56"/>
    <x v="56"/>
    <n v="12"/>
    <x v="23"/>
    <x v="0"/>
  </r>
  <r>
    <s v="SCH00568"/>
    <d v="2026-07-14T00:00:00"/>
    <s v="Tuesday"/>
    <s v="Historical"/>
    <x v="3"/>
    <s v="Night"/>
    <x v="57"/>
    <x v="57"/>
    <n v="12"/>
    <x v="34"/>
    <x v="0"/>
  </r>
  <r>
    <s v="SCH00569"/>
    <d v="2026-07-14T00:00:00"/>
    <s v="Tuesday"/>
    <s v="Historical"/>
    <x v="4"/>
    <s v="Day"/>
    <x v="56"/>
    <x v="56"/>
    <n v="12"/>
    <x v="9"/>
    <x v="0"/>
  </r>
  <r>
    <s v="SCH00570"/>
    <d v="2026-07-14T00:00:00"/>
    <s v="Tuesday"/>
    <s v="Historical"/>
    <x v="4"/>
    <s v="Night"/>
    <x v="57"/>
    <x v="57"/>
    <n v="12"/>
    <x v="8"/>
    <x v="0"/>
  </r>
  <r>
    <s v="SCH00571"/>
    <d v="2026-07-14T00:00:00"/>
    <s v="Tuesday"/>
    <s v="Historical"/>
    <x v="5"/>
    <s v="Day"/>
    <x v="56"/>
    <x v="56"/>
    <n v="12"/>
    <x v="11"/>
    <x v="0"/>
  </r>
  <r>
    <s v="SCH00572"/>
    <d v="2026-07-14T00:00:00"/>
    <s v="Tuesday"/>
    <s v="Historical"/>
    <x v="5"/>
    <s v="Night"/>
    <x v="57"/>
    <x v="57"/>
    <n v="12"/>
    <x v="26"/>
    <x v="0"/>
  </r>
  <r>
    <s v="SCH00573"/>
    <d v="2026-07-14T00:00:00"/>
    <s v="Tuesday"/>
    <s v="Historical"/>
    <x v="6"/>
    <s v="Day"/>
    <x v="56"/>
    <x v="56"/>
    <n v="12"/>
    <x v="13"/>
    <x v="0"/>
  </r>
  <r>
    <s v="SCH00574"/>
    <d v="2026-07-14T00:00:00"/>
    <s v="Tuesday"/>
    <s v="Historical"/>
    <x v="6"/>
    <s v="Night"/>
    <x v="57"/>
    <x v="57"/>
    <n v="12"/>
    <x v="27"/>
    <x v="0"/>
  </r>
  <r>
    <s v="SCH00575"/>
    <d v="2026-07-14T00:00:00"/>
    <s v="Tuesday"/>
    <s v="Historical"/>
    <x v="7"/>
    <s v="Day"/>
    <x v="56"/>
    <x v="56"/>
    <n v="12"/>
    <x v="15"/>
    <x v="0"/>
  </r>
  <r>
    <s v="SCH00576"/>
    <d v="2026-07-14T00:00:00"/>
    <s v="Tuesday"/>
    <s v="Historical"/>
    <x v="7"/>
    <s v="Night"/>
    <x v="57"/>
    <x v="57"/>
    <n v="12"/>
    <x v="14"/>
    <x v="0"/>
  </r>
  <r>
    <s v="SCH00577"/>
    <d v="2026-07-14T00:00:00"/>
    <s v="Tuesday"/>
    <s v="Historical"/>
    <x v="8"/>
    <s v="Day"/>
    <x v="56"/>
    <x v="56"/>
    <n v="12"/>
    <x v="16"/>
    <x v="0"/>
  </r>
  <r>
    <s v="SCH00578"/>
    <d v="2026-07-14T00:00:00"/>
    <s v="Tuesday"/>
    <s v="Historical"/>
    <x v="8"/>
    <s v="Night"/>
    <x v="57"/>
    <x v="57"/>
    <n v="12"/>
    <x v="39"/>
    <x v="0"/>
  </r>
  <r>
    <s v="SCH00579"/>
    <d v="2026-07-14T00:00:00"/>
    <s v="Tuesday"/>
    <s v="Historical"/>
    <x v="9"/>
    <s v="Day"/>
    <x v="56"/>
    <x v="56"/>
    <n v="12"/>
    <x v="42"/>
    <x v="0"/>
  </r>
  <r>
    <s v="SCH00580"/>
    <d v="2026-07-14T00:00:00"/>
    <s v="Tuesday"/>
    <s v="Historical"/>
    <x v="9"/>
    <s v="Night"/>
    <x v="57"/>
    <x v="57"/>
    <n v="12"/>
    <x v="19"/>
    <x v="0"/>
  </r>
  <r>
    <s v="SCH00581"/>
    <d v="2026-07-15T00:00:00"/>
    <s v="Wednesday"/>
    <s v="Historical"/>
    <x v="0"/>
    <s v="Day"/>
    <x v="58"/>
    <x v="58"/>
    <n v="12"/>
    <x v="1"/>
    <x v="0"/>
  </r>
  <r>
    <s v="SCH00582"/>
    <d v="2026-07-15T00:00:00"/>
    <s v="Wednesday"/>
    <s v="Historical"/>
    <x v="0"/>
    <s v="Night"/>
    <x v="59"/>
    <x v="59"/>
    <n v="12"/>
    <x v="20"/>
    <x v="0"/>
  </r>
  <r>
    <s v="SCH00583"/>
    <d v="2026-07-15T00:00:00"/>
    <s v="Wednesday"/>
    <s v="Historical"/>
    <x v="1"/>
    <s v="Day"/>
    <x v="58"/>
    <x v="58"/>
    <n v="12"/>
    <x v="2"/>
    <x v="0"/>
  </r>
  <r>
    <s v="SCH00584"/>
    <d v="2026-07-15T00:00:00"/>
    <s v="Wednesday"/>
    <s v="Historical"/>
    <x v="1"/>
    <s v="Night"/>
    <x v="59"/>
    <x v="59"/>
    <n v="12"/>
    <x v="3"/>
    <x v="0"/>
  </r>
  <r>
    <s v="SCH00585"/>
    <d v="2026-07-15T00:00:00"/>
    <s v="Wednesday"/>
    <s v="Historical"/>
    <x v="2"/>
    <s v="Day"/>
    <x v="58"/>
    <x v="58"/>
    <n v="12"/>
    <x v="4"/>
    <x v="0"/>
  </r>
  <r>
    <s v="SCH00586"/>
    <d v="2026-07-15T00:00:00"/>
    <s v="Wednesday"/>
    <s v="Historical"/>
    <x v="2"/>
    <s v="Night"/>
    <x v="59"/>
    <x v="59"/>
    <n v="12"/>
    <x v="37"/>
    <x v="0"/>
  </r>
  <r>
    <s v="SCH00587"/>
    <d v="2026-07-15T00:00:00"/>
    <s v="Wednesday"/>
    <s v="Historical"/>
    <x v="3"/>
    <s v="Day"/>
    <x v="58"/>
    <x v="58"/>
    <n v="12"/>
    <x v="23"/>
    <x v="0"/>
  </r>
  <r>
    <s v="SCH00588"/>
    <d v="2026-07-15T00:00:00"/>
    <s v="Wednesday"/>
    <s v="Historical"/>
    <x v="3"/>
    <s v="Night"/>
    <x v="59"/>
    <x v="59"/>
    <n v="12"/>
    <x v="34"/>
    <x v="0"/>
  </r>
  <r>
    <s v="SCH00589"/>
    <d v="2026-07-15T00:00:00"/>
    <s v="Wednesday"/>
    <s v="Historical"/>
    <x v="4"/>
    <s v="Day"/>
    <x v="58"/>
    <x v="58"/>
    <n v="12"/>
    <x v="24"/>
    <x v="0"/>
  </r>
  <r>
    <s v="SCH00590"/>
    <d v="2026-07-15T00:00:00"/>
    <s v="Wednesday"/>
    <s v="Historical"/>
    <x v="4"/>
    <s v="Night"/>
    <x v="59"/>
    <x v="59"/>
    <n v="12"/>
    <x v="9"/>
    <x v="0"/>
  </r>
  <r>
    <s v="SCH00591"/>
    <d v="2026-07-15T00:00:00"/>
    <s v="Wednesday"/>
    <s v="Historical"/>
    <x v="5"/>
    <s v="Day"/>
    <x v="58"/>
    <x v="58"/>
    <n v="12"/>
    <x v="26"/>
    <x v="0"/>
  </r>
  <r>
    <s v="SCH00592"/>
    <d v="2026-07-15T00:00:00"/>
    <s v="Wednesday"/>
    <s v="Historical"/>
    <x v="5"/>
    <s v="Night"/>
    <x v="59"/>
    <x v="59"/>
    <n v="12"/>
    <x v="41"/>
    <x v="0"/>
  </r>
  <r>
    <s v="SCH00593"/>
    <d v="2026-07-15T00:00:00"/>
    <s v="Wednesday"/>
    <s v="Historical"/>
    <x v="6"/>
    <s v="Day"/>
    <x v="58"/>
    <x v="58"/>
    <n v="12"/>
    <x v="36"/>
    <x v="0"/>
  </r>
  <r>
    <s v="SCH00594"/>
    <d v="2026-07-15T00:00:00"/>
    <s v="Wednesday"/>
    <s v="Historical"/>
    <x v="6"/>
    <s v="Night"/>
    <x v="59"/>
    <x v="59"/>
    <n v="12"/>
    <x v="27"/>
    <x v="0"/>
  </r>
  <r>
    <s v="SCH00595"/>
    <d v="2026-07-15T00:00:00"/>
    <s v="Wednesday"/>
    <s v="Historical"/>
    <x v="7"/>
    <s v="Day"/>
    <x v="58"/>
    <x v="58"/>
    <n v="12"/>
    <x v="15"/>
    <x v="0"/>
  </r>
  <r>
    <s v="SCH00596"/>
    <d v="2026-07-15T00:00:00"/>
    <s v="Wednesday"/>
    <s v="Historical"/>
    <x v="7"/>
    <s v="Night"/>
    <x v="59"/>
    <x v="59"/>
    <n v="12"/>
    <x v="14"/>
    <x v="0"/>
  </r>
  <r>
    <s v="SCH00597"/>
    <d v="2026-07-15T00:00:00"/>
    <s v="Wednesday"/>
    <s v="Historical"/>
    <x v="8"/>
    <s v="Day"/>
    <x v="58"/>
    <x v="58"/>
    <n v="12"/>
    <x v="17"/>
    <x v="0"/>
  </r>
  <r>
    <s v="SCH00598"/>
    <d v="2026-07-15T00:00:00"/>
    <s v="Wednesday"/>
    <s v="Historical"/>
    <x v="8"/>
    <s v="Night"/>
    <x v="59"/>
    <x v="59"/>
    <n v="12"/>
    <x v="39"/>
    <x v="0"/>
  </r>
  <r>
    <s v="SCH00599"/>
    <d v="2026-07-15T00:00:00"/>
    <s v="Wednesday"/>
    <s v="Historical"/>
    <x v="9"/>
    <s v="Day"/>
    <x v="58"/>
    <x v="58"/>
    <n v="12"/>
    <x v="19"/>
    <x v="0"/>
  </r>
  <r>
    <s v="SCH00600"/>
    <d v="2026-07-15T00:00:00"/>
    <s v="Wednesday"/>
    <s v="Historical"/>
    <x v="9"/>
    <s v="Night"/>
    <x v="59"/>
    <x v="59"/>
    <n v="12"/>
    <x v="31"/>
    <x v="0"/>
  </r>
  <r>
    <s v="SCH00601"/>
    <d v="2026-07-16T00:00:00"/>
    <s v="Thursday"/>
    <s v="Current"/>
    <x v="0"/>
    <s v="Day"/>
    <x v="60"/>
    <x v="60"/>
    <n v="12"/>
    <x v="20"/>
    <x v="1"/>
  </r>
  <r>
    <s v="SCH00602"/>
    <d v="2026-07-16T00:00:00"/>
    <s v="Thursday"/>
    <s v="Current"/>
    <x v="0"/>
    <s v="Night"/>
    <x v="61"/>
    <x v="61"/>
    <n v="12"/>
    <x v="0"/>
    <x v="1"/>
  </r>
  <r>
    <s v="SCH00603"/>
    <d v="2026-07-16T00:00:00"/>
    <s v="Thursday"/>
    <s v="Current"/>
    <x v="1"/>
    <s v="Day"/>
    <x v="60"/>
    <x v="60"/>
    <n v="12"/>
    <x v="21"/>
    <x v="1"/>
  </r>
  <r>
    <s v="SCH00604"/>
    <d v="2026-07-16T00:00:00"/>
    <s v="Thursday"/>
    <s v="Current"/>
    <x v="1"/>
    <s v="Night"/>
    <x v="61"/>
    <x v="61"/>
    <n v="12"/>
    <x v="40"/>
    <x v="1"/>
  </r>
  <r>
    <s v="SCH00605"/>
    <d v="2026-07-16T00:00:00"/>
    <s v="Thursday"/>
    <s v="Current"/>
    <x v="2"/>
    <s v="Day"/>
    <x v="60"/>
    <x v="60"/>
    <n v="12"/>
    <x v="37"/>
    <x v="1"/>
  </r>
  <r>
    <s v="SCH00606"/>
    <d v="2026-07-16T00:00:00"/>
    <s v="Thursday"/>
    <s v="Current"/>
    <x v="2"/>
    <s v="Night"/>
    <x v="61"/>
    <x v="61"/>
    <n v="12"/>
    <x v="33"/>
    <x v="1"/>
  </r>
  <r>
    <s v="SCH00607"/>
    <d v="2026-07-16T00:00:00"/>
    <s v="Thursday"/>
    <s v="Current"/>
    <x v="3"/>
    <s v="Day"/>
    <x v="60"/>
    <x v="60"/>
    <n v="12"/>
    <x v="38"/>
    <x v="1"/>
  </r>
  <r>
    <s v="SCH00608"/>
    <d v="2026-07-16T00:00:00"/>
    <s v="Thursday"/>
    <s v="Current"/>
    <x v="3"/>
    <s v="Night"/>
    <x v="61"/>
    <x v="61"/>
    <n v="12"/>
    <x v="23"/>
    <x v="1"/>
  </r>
  <r>
    <s v="SCH00609"/>
    <d v="2026-07-16T00:00:00"/>
    <s v="Thursday"/>
    <s v="Current"/>
    <x v="4"/>
    <s v="Day"/>
    <x v="60"/>
    <x v="60"/>
    <n v="12"/>
    <x v="43"/>
    <x v="1"/>
  </r>
  <r>
    <s v="SCH00610"/>
    <d v="2026-07-16T00:00:00"/>
    <s v="Thursday"/>
    <s v="Current"/>
    <x v="4"/>
    <s v="Night"/>
    <x v="61"/>
    <x v="61"/>
    <n v="12"/>
    <x v="9"/>
    <x v="1"/>
  </r>
  <r>
    <s v="SCH00611"/>
    <d v="2026-07-16T00:00:00"/>
    <s v="Thursday"/>
    <s v="Current"/>
    <x v="5"/>
    <s v="Day"/>
    <x v="60"/>
    <x v="60"/>
    <n v="12"/>
    <x v="10"/>
    <x v="1"/>
  </r>
  <r>
    <s v="SCH00612"/>
    <d v="2026-07-16T00:00:00"/>
    <s v="Thursday"/>
    <s v="Current"/>
    <x v="5"/>
    <s v="Night"/>
    <x v="61"/>
    <x v="61"/>
    <n v="12"/>
    <x v="25"/>
    <x v="1"/>
  </r>
  <r>
    <s v="SCH00613"/>
    <d v="2026-07-16T00:00:00"/>
    <s v="Thursday"/>
    <s v="Current"/>
    <x v="6"/>
    <s v="Day"/>
    <x v="60"/>
    <x v="60"/>
    <n v="12"/>
    <x v="12"/>
    <x v="1"/>
  </r>
  <r>
    <s v="SCH00614"/>
    <d v="2026-07-16T00:00:00"/>
    <s v="Thursday"/>
    <s v="Current"/>
    <x v="6"/>
    <s v="Night"/>
    <x v="61"/>
    <x v="61"/>
    <n v="12"/>
    <x v="35"/>
    <x v="1"/>
  </r>
  <r>
    <s v="SCH00615"/>
    <d v="2026-07-16T00:00:00"/>
    <s v="Thursday"/>
    <s v="Current"/>
    <x v="7"/>
    <s v="Day"/>
    <x v="60"/>
    <x v="60"/>
    <n v="12"/>
    <x v="28"/>
    <x v="1"/>
  </r>
  <r>
    <s v="SCH00616"/>
    <d v="2026-07-16T00:00:00"/>
    <s v="Thursday"/>
    <s v="Current"/>
    <x v="7"/>
    <s v="Night"/>
    <x v="61"/>
    <x v="61"/>
    <n v="12"/>
    <x v="29"/>
    <x v="1"/>
  </r>
  <r>
    <s v="SCH00617"/>
    <d v="2026-07-16T00:00:00"/>
    <s v="Thursday"/>
    <s v="Current"/>
    <x v="8"/>
    <s v="Day"/>
    <x v="60"/>
    <x v="60"/>
    <n v="12"/>
    <x v="16"/>
    <x v="1"/>
  </r>
  <r>
    <s v="SCH00618"/>
    <d v="2026-07-16T00:00:00"/>
    <s v="Thursday"/>
    <s v="Current"/>
    <x v="8"/>
    <s v="Night"/>
    <x v="61"/>
    <x v="61"/>
    <n v="12"/>
    <x v="44"/>
    <x v="1"/>
  </r>
  <r>
    <s v="SCH00619"/>
    <d v="2026-07-16T00:00:00"/>
    <s v="Thursday"/>
    <s v="Current"/>
    <x v="9"/>
    <s v="Day"/>
    <x v="60"/>
    <x v="60"/>
    <n v="12"/>
    <x v="32"/>
    <x v="1"/>
  </r>
  <r>
    <s v="SCH00620"/>
    <d v="2026-07-16T00:00:00"/>
    <s v="Thursday"/>
    <s v="Current"/>
    <x v="9"/>
    <s v="Night"/>
    <x v="61"/>
    <x v="61"/>
    <n v="12"/>
    <x v="42"/>
    <x v="1"/>
  </r>
  <r>
    <s v="SCH00621"/>
    <d v="2026-07-17T00:00:00"/>
    <s v="Friday"/>
    <s v="Future"/>
    <x v="0"/>
    <s v="Day"/>
    <x v="62"/>
    <x v="62"/>
    <n v="12"/>
    <x v="0"/>
    <x v="2"/>
  </r>
  <r>
    <s v="SCH00622"/>
    <d v="2026-07-17T00:00:00"/>
    <s v="Friday"/>
    <s v="Future"/>
    <x v="0"/>
    <s v="Night"/>
    <x v="63"/>
    <x v="63"/>
    <n v="12"/>
    <x v="20"/>
    <x v="2"/>
  </r>
  <r>
    <s v="SCH00623"/>
    <d v="2026-07-17T00:00:00"/>
    <s v="Friday"/>
    <s v="Future"/>
    <x v="1"/>
    <s v="Day"/>
    <x v="62"/>
    <x v="62"/>
    <n v="12"/>
    <x v="3"/>
    <x v="2"/>
  </r>
  <r>
    <s v="SCH00624"/>
    <d v="2026-07-17T00:00:00"/>
    <s v="Friday"/>
    <s v="Future"/>
    <x v="1"/>
    <s v="Night"/>
    <x v="63"/>
    <x v="63"/>
    <n v="12"/>
    <x v="2"/>
    <x v="2"/>
  </r>
  <r>
    <s v="SCH00625"/>
    <d v="2026-07-17T00:00:00"/>
    <s v="Friday"/>
    <s v="Future"/>
    <x v="2"/>
    <s v="Day"/>
    <x v="62"/>
    <x v="62"/>
    <n v="12"/>
    <x v="4"/>
    <x v="2"/>
  </r>
  <r>
    <s v="SCH00626"/>
    <d v="2026-07-17T00:00:00"/>
    <s v="Friday"/>
    <s v="Future"/>
    <x v="2"/>
    <s v="Night"/>
    <x v="63"/>
    <x v="63"/>
    <n v="12"/>
    <x v="37"/>
    <x v="2"/>
  </r>
  <r>
    <s v="SCH00627"/>
    <d v="2026-07-17T00:00:00"/>
    <s v="Friday"/>
    <s v="Future"/>
    <x v="3"/>
    <s v="Day"/>
    <x v="62"/>
    <x v="62"/>
    <n v="12"/>
    <x v="38"/>
    <x v="2"/>
  </r>
  <r>
    <s v="SCH00628"/>
    <d v="2026-07-17T00:00:00"/>
    <s v="Friday"/>
    <s v="Future"/>
    <x v="3"/>
    <s v="Night"/>
    <x v="63"/>
    <x v="63"/>
    <n v="12"/>
    <x v="7"/>
    <x v="2"/>
  </r>
  <r>
    <s v="SCH00629"/>
    <d v="2026-07-17T00:00:00"/>
    <s v="Friday"/>
    <s v="Future"/>
    <x v="4"/>
    <s v="Day"/>
    <x v="62"/>
    <x v="62"/>
    <n v="12"/>
    <x v="43"/>
    <x v="2"/>
  </r>
  <r>
    <s v="SCH00630"/>
    <d v="2026-07-17T00:00:00"/>
    <s v="Friday"/>
    <s v="Future"/>
    <x v="4"/>
    <s v="Night"/>
    <x v="63"/>
    <x v="63"/>
    <n v="12"/>
    <x v="24"/>
    <x v="2"/>
  </r>
  <r>
    <s v="SCH00631"/>
    <d v="2026-07-17T00:00:00"/>
    <s v="Friday"/>
    <s v="Future"/>
    <x v="5"/>
    <s v="Day"/>
    <x v="62"/>
    <x v="62"/>
    <n v="12"/>
    <x v="25"/>
    <x v="2"/>
  </r>
  <r>
    <s v="SCH00632"/>
    <d v="2026-07-17T00:00:00"/>
    <s v="Friday"/>
    <s v="Future"/>
    <x v="5"/>
    <s v="Night"/>
    <x v="63"/>
    <x v="63"/>
    <n v="12"/>
    <x v="41"/>
    <x v="2"/>
  </r>
  <r>
    <s v="SCH00633"/>
    <d v="2026-07-17T00:00:00"/>
    <s v="Friday"/>
    <s v="Future"/>
    <x v="6"/>
    <s v="Day"/>
    <x v="62"/>
    <x v="62"/>
    <n v="12"/>
    <x v="36"/>
    <x v="2"/>
  </r>
  <r>
    <s v="SCH00634"/>
    <d v="2026-07-17T00:00:00"/>
    <s v="Friday"/>
    <s v="Future"/>
    <x v="6"/>
    <s v="Night"/>
    <x v="63"/>
    <x v="63"/>
    <n v="12"/>
    <x v="27"/>
    <x v="2"/>
  </r>
  <r>
    <s v="SCH00635"/>
    <d v="2026-07-17T00:00:00"/>
    <s v="Friday"/>
    <s v="Future"/>
    <x v="7"/>
    <s v="Day"/>
    <x v="62"/>
    <x v="62"/>
    <n v="12"/>
    <x v="15"/>
    <x v="2"/>
  </r>
  <r>
    <s v="SCH00636"/>
    <d v="2026-07-17T00:00:00"/>
    <s v="Friday"/>
    <s v="Future"/>
    <x v="7"/>
    <s v="Night"/>
    <x v="63"/>
    <x v="63"/>
    <n v="12"/>
    <x v="28"/>
    <x v="2"/>
  </r>
  <r>
    <s v="SCH00637"/>
    <d v="2026-07-17T00:00:00"/>
    <s v="Friday"/>
    <s v="Future"/>
    <x v="8"/>
    <s v="Day"/>
    <x v="62"/>
    <x v="62"/>
    <n v="12"/>
    <x v="30"/>
    <x v="2"/>
  </r>
  <r>
    <s v="SCH00638"/>
    <d v="2026-07-17T00:00:00"/>
    <s v="Friday"/>
    <s v="Future"/>
    <x v="8"/>
    <s v="Night"/>
    <x v="63"/>
    <x v="63"/>
    <n v="12"/>
    <x v="39"/>
    <x v="2"/>
  </r>
  <r>
    <s v="SCH00639"/>
    <d v="2026-07-17T00:00:00"/>
    <s v="Friday"/>
    <s v="Future"/>
    <x v="9"/>
    <s v="Day"/>
    <x v="62"/>
    <x v="62"/>
    <n v="12"/>
    <x v="19"/>
    <x v="2"/>
  </r>
  <r>
    <s v="SCH00640"/>
    <d v="2026-07-17T00:00:00"/>
    <s v="Friday"/>
    <s v="Future"/>
    <x v="9"/>
    <s v="Night"/>
    <x v="63"/>
    <x v="63"/>
    <n v="12"/>
    <x v="31"/>
    <x v="2"/>
  </r>
  <r>
    <s v="SCH00641"/>
    <d v="2026-07-18T00:00:00"/>
    <s v="Saturday"/>
    <s v="Future"/>
    <x v="0"/>
    <s v="Day"/>
    <x v="64"/>
    <x v="64"/>
    <n v="12"/>
    <x v="1"/>
    <x v="2"/>
  </r>
  <r>
    <s v="SCH00642"/>
    <d v="2026-07-18T00:00:00"/>
    <s v="Saturday"/>
    <s v="Future"/>
    <x v="0"/>
    <s v="Night"/>
    <x v="65"/>
    <x v="65"/>
    <n v="12"/>
    <x v="20"/>
    <x v="2"/>
  </r>
  <r>
    <s v="SCH00643"/>
    <d v="2026-07-18T00:00:00"/>
    <s v="Saturday"/>
    <s v="Future"/>
    <x v="1"/>
    <s v="Day"/>
    <x v="64"/>
    <x v="64"/>
    <n v="12"/>
    <x v="45"/>
    <x v="2"/>
  </r>
  <r>
    <s v="SCH00644"/>
    <d v="2026-07-18T00:00:00"/>
    <s v="Saturday"/>
    <s v="Future"/>
    <x v="1"/>
    <s v="Night"/>
    <x v="65"/>
    <x v="65"/>
    <n v="12"/>
    <x v="3"/>
    <x v="2"/>
  </r>
  <r>
    <s v="SCH00645"/>
    <d v="2026-07-18T00:00:00"/>
    <s v="Saturday"/>
    <s v="Future"/>
    <x v="2"/>
    <s v="Day"/>
    <x v="64"/>
    <x v="64"/>
    <n v="12"/>
    <x v="33"/>
    <x v="2"/>
  </r>
  <r>
    <s v="SCH00646"/>
    <d v="2026-07-18T00:00:00"/>
    <s v="Saturday"/>
    <s v="Future"/>
    <x v="2"/>
    <s v="Night"/>
    <x v="65"/>
    <x v="65"/>
    <n v="12"/>
    <x v="37"/>
    <x v="2"/>
  </r>
  <r>
    <s v="SCH00647"/>
    <d v="2026-07-18T00:00:00"/>
    <s v="Saturday"/>
    <s v="Future"/>
    <x v="3"/>
    <s v="Day"/>
    <x v="64"/>
    <x v="64"/>
    <n v="12"/>
    <x v="6"/>
    <x v="2"/>
  </r>
  <r>
    <s v="SCH00648"/>
    <d v="2026-07-18T00:00:00"/>
    <s v="Saturday"/>
    <s v="Future"/>
    <x v="3"/>
    <s v="Night"/>
    <x v="65"/>
    <x v="65"/>
    <n v="12"/>
    <x v="7"/>
    <x v="2"/>
  </r>
  <r>
    <s v="SCH00649"/>
    <d v="2026-07-18T00:00:00"/>
    <s v="Saturday"/>
    <s v="Future"/>
    <x v="4"/>
    <s v="Day"/>
    <x v="64"/>
    <x v="64"/>
    <n v="12"/>
    <x v="9"/>
    <x v="2"/>
  </r>
  <r>
    <s v="SCH00650"/>
    <d v="2026-07-18T00:00:00"/>
    <s v="Saturday"/>
    <s v="Future"/>
    <x v="4"/>
    <s v="Night"/>
    <x v="65"/>
    <x v="65"/>
    <n v="12"/>
    <x v="8"/>
    <x v="2"/>
  </r>
  <r>
    <s v="SCH00651"/>
    <d v="2026-07-18T00:00:00"/>
    <s v="Saturday"/>
    <s v="Future"/>
    <x v="5"/>
    <s v="Day"/>
    <x v="64"/>
    <x v="64"/>
    <n v="12"/>
    <x v="11"/>
    <x v="2"/>
  </r>
  <r>
    <s v="SCH00652"/>
    <d v="2026-07-18T00:00:00"/>
    <s v="Saturday"/>
    <s v="Future"/>
    <x v="5"/>
    <s v="Night"/>
    <x v="65"/>
    <x v="65"/>
    <n v="12"/>
    <x v="41"/>
    <x v="2"/>
  </r>
  <r>
    <s v="SCH00653"/>
    <d v="2026-07-18T00:00:00"/>
    <s v="Saturday"/>
    <s v="Future"/>
    <x v="6"/>
    <s v="Day"/>
    <x v="64"/>
    <x v="64"/>
    <n v="12"/>
    <x v="13"/>
    <x v="2"/>
  </r>
  <r>
    <s v="SCH00654"/>
    <d v="2026-07-18T00:00:00"/>
    <s v="Saturday"/>
    <s v="Future"/>
    <x v="6"/>
    <s v="Night"/>
    <x v="65"/>
    <x v="65"/>
    <n v="12"/>
    <x v="12"/>
    <x v="2"/>
  </r>
  <r>
    <s v="SCH00655"/>
    <d v="2026-07-18T00:00:00"/>
    <s v="Saturday"/>
    <s v="Future"/>
    <x v="7"/>
    <s v="Day"/>
    <x v="64"/>
    <x v="64"/>
    <n v="12"/>
    <x v="29"/>
    <x v="2"/>
  </r>
  <r>
    <s v="SCH00656"/>
    <d v="2026-07-18T00:00:00"/>
    <s v="Saturday"/>
    <s v="Future"/>
    <x v="7"/>
    <s v="Night"/>
    <x v="65"/>
    <x v="65"/>
    <n v="12"/>
    <x v="28"/>
    <x v="2"/>
  </r>
  <r>
    <s v="SCH00657"/>
    <d v="2026-07-18T00:00:00"/>
    <s v="Saturday"/>
    <s v="Future"/>
    <x v="8"/>
    <s v="Day"/>
    <x v="64"/>
    <x v="64"/>
    <n v="12"/>
    <x v="44"/>
    <x v="2"/>
  </r>
  <r>
    <s v="SCH00658"/>
    <d v="2026-07-18T00:00:00"/>
    <s v="Saturday"/>
    <s v="Future"/>
    <x v="8"/>
    <s v="Night"/>
    <x v="65"/>
    <x v="65"/>
    <n v="12"/>
    <x v="30"/>
    <x v="2"/>
  </r>
  <r>
    <s v="SCH00659"/>
    <d v="2026-07-18T00:00:00"/>
    <s v="Saturday"/>
    <s v="Future"/>
    <x v="9"/>
    <s v="Day"/>
    <x v="64"/>
    <x v="64"/>
    <n v="12"/>
    <x v="19"/>
    <x v="2"/>
  </r>
  <r>
    <s v="SCH00660"/>
    <d v="2026-07-18T00:00:00"/>
    <s v="Saturday"/>
    <s v="Future"/>
    <x v="9"/>
    <s v="Night"/>
    <x v="65"/>
    <x v="65"/>
    <n v="12"/>
    <x v="42"/>
    <x v="2"/>
  </r>
  <r>
    <s v="SCH00661"/>
    <d v="2026-07-19T00:00:00"/>
    <s v="Sunday"/>
    <s v="Future"/>
    <x v="0"/>
    <s v="Day"/>
    <x v="66"/>
    <x v="66"/>
    <n v="12"/>
    <x v="20"/>
    <x v="2"/>
  </r>
  <r>
    <s v="SCH00662"/>
    <d v="2026-07-19T00:00:00"/>
    <s v="Sunday"/>
    <s v="Future"/>
    <x v="0"/>
    <s v="Night"/>
    <x v="67"/>
    <x v="67"/>
    <n v="12"/>
    <x v="0"/>
    <x v="2"/>
  </r>
  <r>
    <s v="SCH00663"/>
    <d v="2026-07-19T00:00:00"/>
    <s v="Sunday"/>
    <s v="Future"/>
    <x v="1"/>
    <s v="Day"/>
    <x v="66"/>
    <x v="66"/>
    <n v="12"/>
    <x v="3"/>
    <x v="2"/>
  </r>
  <r>
    <s v="SCH00664"/>
    <d v="2026-07-19T00:00:00"/>
    <s v="Sunday"/>
    <s v="Future"/>
    <x v="1"/>
    <s v="Night"/>
    <x v="67"/>
    <x v="67"/>
    <n v="12"/>
    <x v="2"/>
    <x v="2"/>
  </r>
  <r>
    <s v="SCH00665"/>
    <d v="2026-07-19T00:00:00"/>
    <s v="Sunday"/>
    <s v="Future"/>
    <x v="2"/>
    <s v="Day"/>
    <x v="66"/>
    <x v="66"/>
    <n v="12"/>
    <x v="5"/>
    <x v="2"/>
  </r>
  <r>
    <s v="SCH00666"/>
    <d v="2026-07-19T00:00:00"/>
    <s v="Sunday"/>
    <s v="Future"/>
    <x v="2"/>
    <s v="Night"/>
    <x v="67"/>
    <x v="67"/>
    <n v="12"/>
    <x v="4"/>
    <x v="2"/>
  </r>
  <r>
    <s v="SCH00667"/>
    <d v="2026-07-19T00:00:00"/>
    <s v="Sunday"/>
    <s v="Future"/>
    <x v="3"/>
    <s v="Day"/>
    <x v="66"/>
    <x v="66"/>
    <n v="12"/>
    <x v="38"/>
    <x v="2"/>
  </r>
  <r>
    <s v="SCH00668"/>
    <d v="2026-07-19T00:00:00"/>
    <s v="Sunday"/>
    <s v="Future"/>
    <x v="3"/>
    <s v="Night"/>
    <x v="67"/>
    <x v="67"/>
    <n v="12"/>
    <x v="7"/>
    <x v="2"/>
  </r>
  <r>
    <s v="SCH00669"/>
    <d v="2026-07-19T00:00:00"/>
    <s v="Sunday"/>
    <s v="Future"/>
    <x v="4"/>
    <s v="Day"/>
    <x v="66"/>
    <x v="66"/>
    <n v="12"/>
    <x v="9"/>
    <x v="2"/>
  </r>
  <r>
    <s v="SCH00670"/>
    <d v="2026-07-19T00:00:00"/>
    <s v="Sunday"/>
    <s v="Future"/>
    <x v="4"/>
    <s v="Night"/>
    <x v="67"/>
    <x v="67"/>
    <n v="12"/>
    <x v="8"/>
    <x v="2"/>
  </r>
  <r>
    <s v="SCH00671"/>
    <d v="2026-07-19T00:00:00"/>
    <s v="Sunday"/>
    <s v="Future"/>
    <x v="5"/>
    <s v="Day"/>
    <x v="66"/>
    <x v="66"/>
    <n v="12"/>
    <x v="41"/>
    <x v="2"/>
  </r>
  <r>
    <s v="SCH00672"/>
    <d v="2026-07-19T00:00:00"/>
    <s v="Sunday"/>
    <s v="Future"/>
    <x v="5"/>
    <s v="Night"/>
    <x v="67"/>
    <x v="67"/>
    <n v="12"/>
    <x v="11"/>
    <x v="2"/>
  </r>
  <r>
    <s v="SCH00673"/>
    <d v="2026-07-19T00:00:00"/>
    <s v="Sunday"/>
    <s v="Future"/>
    <x v="6"/>
    <s v="Day"/>
    <x v="66"/>
    <x v="66"/>
    <n v="12"/>
    <x v="12"/>
    <x v="2"/>
  </r>
  <r>
    <s v="SCH00674"/>
    <d v="2026-07-19T00:00:00"/>
    <s v="Sunday"/>
    <s v="Future"/>
    <x v="6"/>
    <s v="Night"/>
    <x v="67"/>
    <x v="67"/>
    <n v="12"/>
    <x v="36"/>
    <x v="2"/>
  </r>
  <r>
    <s v="SCH00675"/>
    <d v="2026-07-19T00:00:00"/>
    <s v="Sunday"/>
    <s v="Future"/>
    <x v="7"/>
    <s v="Day"/>
    <x v="66"/>
    <x v="66"/>
    <n v="12"/>
    <x v="14"/>
    <x v="2"/>
  </r>
  <r>
    <s v="SCH00676"/>
    <d v="2026-07-19T00:00:00"/>
    <s v="Sunday"/>
    <s v="Future"/>
    <x v="7"/>
    <s v="Night"/>
    <x v="67"/>
    <x v="67"/>
    <n v="12"/>
    <x v="15"/>
    <x v="2"/>
  </r>
  <r>
    <s v="SCH00677"/>
    <d v="2026-07-19T00:00:00"/>
    <s v="Sunday"/>
    <s v="Future"/>
    <x v="8"/>
    <s v="Day"/>
    <x v="66"/>
    <x v="66"/>
    <n v="12"/>
    <x v="17"/>
    <x v="2"/>
  </r>
  <r>
    <s v="SCH00678"/>
    <d v="2026-07-19T00:00:00"/>
    <s v="Sunday"/>
    <s v="Future"/>
    <x v="8"/>
    <s v="Night"/>
    <x v="67"/>
    <x v="67"/>
    <n v="12"/>
    <x v="39"/>
    <x v="2"/>
  </r>
  <r>
    <s v="SCH00679"/>
    <d v="2026-07-19T00:00:00"/>
    <s v="Sunday"/>
    <s v="Future"/>
    <x v="9"/>
    <s v="Day"/>
    <x v="66"/>
    <x v="66"/>
    <n v="12"/>
    <x v="18"/>
    <x v="2"/>
  </r>
  <r>
    <s v="SCH00680"/>
    <d v="2026-07-19T00:00:00"/>
    <s v="Sunday"/>
    <s v="Future"/>
    <x v="9"/>
    <s v="Night"/>
    <x v="67"/>
    <x v="67"/>
    <n v="12"/>
    <x v="42"/>
    <x v="2"/>
  </r>
  <r>
    <s v="SCH00681"/>
    <d v="2026-07-20T00:00:00"/>
    <s v="Monday"/>
    <s v="Future"/>
    <x v="0"/>
    <s v="Day"/>
    <x v="68"/>
    <x v="68"/>
    <n v="12"/>
    <x v="1"/>
    <x v="2"/>
  </r>
  <r>
    <s v="SCH00682"/>
    <d v="2026-07-20T00:00:00"/>
    <s v="Monday"/>
    <s v="Future"/>
    <x v="0"/>
    <s v="Night"/>
    <x v="69"/>
    <x v="69"/>
    <n v="12"/>
    <x v="20"/>
    <x v="2"/>
  </r>
  <r>
    <s v="SCH00683"/>
    <d v="2026-07-20T00:00:00"/>
    <s v="Monday"/>
    <s v="Future"/>
    <x v="1"/>
    <s v="Day"/>
    <x v="68"/>
    <x v="68"/>
    <n v="12"/>
    <x v="40"/>
    <x v="2"/>
  </r>
  <r>
    <s v="SCH00684"/>
    <d v="2026-07-20T00:00:00"/>
    <s v="Monday"/>
    <s v="Future"/>
    <x v="1"/>
    <s v="Night"/>
    <x v="69"/>
    <x v="69"/>
    <n v="12"/>
    <x v="2"/>
    <x v="2"/>
  </r>
  <r>
    <s v="SCH00685"/>
    <d v="2026-07-20T00:00:00"/>
    <s v="Monday"/>
    <s v="Future"/>
    <x v="2"/>
    <s v="Day"/>
    <x v="68"/>
    <x v="68"/>
    <n v="12"/>
    <x v="33"/>
    <x v="2"/>
  </r>
  <r>
    <s v="SCH00686"/>
    <d v="2026-07-20T00:00:00"/>
    <s v="Monday"/>
    <s v="Future"/>
    <x v="2"/>
    <s v="Night"/>
    <x v="69"/>
    <x v="69"/>
    <n v="12"/>
    <x v="22"/>
    <x v="2"/>
  </r>
  <r>
    <s v="SCH00687"/>
    <d v="2026-07-20T00:00:00"/>
    <s v="Monday"/>
    <s v="Future"/>
    <x v="3"/>
    <s v="Day"/>
    <x v="68"/>
    <x v="68"/>
    <n v="12"/>
    <x v="7"/>
    <x v="2"/>
  </r>
  <r>
    <s v="SCH00688"/>
    <d v="2026-07-20T00:00:00"/>
    <s v="Monday"/>
    <s v="Future"/>
    <x v="3"/>
    <s v="Night"/>
    <x v="69"/>
    <x v="69"/>
    <n v="12"/>
    <x v="38"/>
    <x v="2"/>
  </r>
  <r>
    <s v="SCH00689"/>
    <d v="2026-07-20T00:00:00"/>
    <s v="Monday"/>
    <s v="Future"/>
    <x v="4"/>
    <s v="Day"/>
    <x v="68"/>
    <x v="68"/>
    <n v="12"/>
    <x v="8"/>
    <x v="2"/>
  </r>
  <r>
    <s v="SCH00690"/>
    <d v="2026-07-20T00:00:00"/>
    <s v="Monday"/>
    <s v="Future"/>
    <x v="4"/>
    <s v="Night"/>
    <x v="69"/>
    <x v="69"/>
    <n v="12"/>
    <x v="43"/>
    <x v="2"/>
  </r>
  <r>
    <s v="SCH00691"/>
    <d v="2026-07-20T00:00:00"/>
    <s v="Monday"/>
    <s v="Future"/>
    <x v="5"/>
    <s v="Day"/>
    <x v="68"/>
    <x v="68"/>
    <n v="12"/>
    <x v="10"/>
    <x v="2"/>
  </r>
  <r>
    <s v="SCH00692"/>
    <d v="2026-07-20T00:00:00"/>
    <s v="Monday"/>
    <s v="Future"/>
    <x v="5"/>
    <s v="Night"/>
    <x v="69"/>
    <x v="69"/>
    <n v="12"/>
    <x v="26"/>
    <x v="2"/>
  </r>
  <r>
    <s v="SCH00693"/>
    <d v="2026-07-20T00:00:00"/>
    <s v="Monday"/>
    <s v="Future"/>
    <x v="6"/>
    <s v="Day"/>
    <x v="68"/>
    <x v="68"/>
    <n v="12"/>
    <x v="12"/>
    <x v="2"/>
  </r>
  <r>
    <s v="SCH00694"/>
    <d v="2026-07-20T00:00:00"/>
    <s v="Monday"/>
    <s v="Future"/>
    <x v="6"/>
    <s v="Night"/>
    <x v="69"/>
    <x v="69"/>
    <n v="12"/>
    <x v="35"/>
    <x v="2"/>
  </r>
  <r>
    <s v="SCH00695"/>
    <d v="2026-07-20T00:00:00"/>
    <s v="Monday"/>
    <s v="Future"/>
    <x v="7"/>
    <s v="Day"/>
    <x v="68"/>
    <x v="68"/>
    <n v="12"/>
    <x v="15"/>
    <x v="2"/>
  </r>
  <r>
    <s v="SCH00696"/>
    <d v="2026-07-20T00:00:00"/>
    <s v="Monday"/>
    <s v="Future"/>
    <x v="7"/>
    <s v="Night"/>
    <x v="69"/>
    <x v="69"/>
    <n v="12"/>
    <x v="28"/>
    <x v="2"/>
  </r>
  <r>
    <s v="SCH00697"/>
    <d v="2026-07-20T00:00:00"/>
    <s v="Monday"/>
    <s v="Future"/>
    <x v="8"/>
    <s v="Day"/>
    <x v="68"/>
    <x v="68"/>
    <n v="12"/>
    <x v="44"/>
    <x v="2"/>
  </r>
  <r>
    <s v="SCH00698"/>
    <d v="2026-07-20T00:00:00"/>
    <s v="Monday"/>
    <s v="Future"/>
    <x v="8"/>
    <s v="Night"/>
    <x v="69"/>
    <x v="69"/>
    <n v="12"/>
    <x v="30"/>
    <x v="2"/>
  </r>
  <r>
    <s v="SCH00699"/>
    <d v="2026-07-20T00:00:00"/>
    <s v="Monday"/>
    <s v="Future"/>
    <x v="9"/>
    <s v="Day"/>
    <x v="68"/>
    <x v="68"/>
    <n v="12"/>
    <x v="18"/>
    <x v="2"/>
  </r>
  <r>
    <s v="SCH00700"/>
    <d v="2026-07-20T00:00:00"/>
    <s v="Monday"/>
    <s v="Future"/>
    <x v="9"/>
    <s v="Night"/>
    <x v="69"/>
    <x v="69"/>
    <n v="12"/>
    <x v="42"/>
    <x v="2"/>
  </r>
  <r>
    <s v="SCH00701"/>
    <d v="2026-07-21T00:00:00"/>
    <s v="Tuesday"/>
    <s v="Future"/>
    <x v="0"/>
    <s v="Day"/>
    <x v="70"/>
    <x v="70"/>
    <n v="12"/>
    <x v="1"/>
    <x v="2"/>
  </r>
  <r>
    <s v="SCH00702"/>
    <d v="2026-07-21T00:00:00"/>
    <s v="Tuesday"/>
    <s v="Future"/>
    <x v="0"/>
    <s v="Night"/>
    <x v="71"/>
    <x v="71"/>
    <n v="12"/>
    <x v="20"/>
    <x v="2"/>
  </r>
  <r>
    <s v="SCH00703"/>
    <d v="2026-07-21T00:00:00"/>
    <s v="Tuesday"/>
    <s v="Future"/>
    <x v="1"/>
    <s v="Day"/>
    <x v="70"/>
    <x v="70"/>
    <n v="12"/>
    <x v="45"/>
    <x v="2"/>
  </r>
  <r>
    <s v="SCH00704"/>
    <d v="2026-07-21T00:00:00"/>
    <s v="Tuesday"/>
    <s v="Future"/>
    <x v="1"/>
    <s v="Night"/>
    <x v="71"/>
    <x v="71"/>
    <n v="12"/>
    <x v="21"/>
    <x v="2"/>
  </r>
  <r>
    <s v="SCH00705"/>
    <d v="2026-07-21T00:00:00"/>
    <s v="Tuesday"/>
    <s v="Future"/>
    <x v="2"/>
    <s v="Day"/>
    <x v="70"/>
    <x v="70"/>
    <n v="12"/>
    <x v="33"/>
    <x v="2"/>
  </r>
  <r>
    <s v="SCH00706"/>
    <d v="2026-07-21T00:00:00"/>
    <s v="Tuesday"/>
    <s v="Future"/>
    <x v="2"/>
    <s v="Night"/>
    <x v="71"/>
    <x v="71"/>
    <n v="12"/>
    <x v="4"/>
    <x v="2"/>
  </r>
  <r>
    <s v="SCH00707"/>
    <d v="2026-07-21T00:00:00"/>
    <s v="Tuesday"/>
    <s v="Future"/>
    <x v="3"/>
    <s v="Day"/>
    <x v="70"/>
    <x v="70"/>
    <n v="12"/>
    <x v="34"/>
    <x v="2"/>
  </r>
  <r>
    <s v="SCH00708"/>
    <d v="2026-07-21T00:00:00"/>
    <s v="Tuesday"/>
    <s v="Future"/>
    <x v="3"/>
    <s v="Night"/>
    <x v="71"/>
    <x v="71"/>
    <n v="12"/>
    <x v="38"/>
    <x v="2"/>
  </r>
  <r>
    <s v="SCH00709"/>
    <d v="2026-07-21T00:00:00"/>
    <s v="Tuesday"/>
    <s v="Future"/>
    <x v="4"/>
    <s v="Day"/>
    <x v="70"/>
    <x v="70"/>
    <n v="12"/>
    <x v="43"/>
    <x v="2"/>
  </r>
  <r>
    <s v="SCH00710"/>
    <d v="2026-07-21T00:00:00"/>
    <s v="Tuesday"/>
    <s v="Future"/>
    <x v="4"/>
    <s v="Night"/>
    <x v="71"/>
    <x v="71"/>
    <n v="12"/>
    <x v="8"/>
    <x v="2"/>
  </r>
  <r>
    <s v="SCH00711"/>
    <d v="2026-07-21T00:00:00"/>
    <s v="Tuesday"/>
    <s v="Future"/>
    <x v="5"/>
    <s v="Day"/>
    <x v="70"/>
    <x v="70"/>
    <n v="12"/>
    <x v="41"/>
    <x v="2"/>
  </r>
  <r>
    <s v="SCH00712"/>
    <d v="2026-07-21T00:00:00"/>
    <s v="Tuesday"/>
    <s v="Future"/>
    <x v="5"/>
    <s v="Night"/>
    <x v="71"/>
    <x v="71"/>
    <n v="12"/>
    <x v="26"/>
    <x v="2"/>
  </r>
  <r>
    <s v="SCH00713"/>
    <d v="2026-07-21T00:00:00"/>
    <s v="Tuesday"/>
    <s v="Future"/>
    <x v="6"/>
    <s v="Day"/>
    <x v="70"/>
    <x v="70"/>
    <n v="12"/>
    <x v="35"/>
    <x v="2"/>
  </r>
  <r>
    <s v="SCH00714"/>
    <d v="2026-07-21T00:00:00"/>
    <s v="Tuesday"/>
    <s v="Future"/>
    <x v="6"/>
    <s v="Night"/>
    <x v="71"/>
    <x v="71"/>
    <n v="12"/>
    <x v="36"/>
    <x v="2"/>
  </r>
  <r>
    <s v="SCH00715"/>
    <d v="2026-07-21T00:00:00"/>
    <s v="Tuesday"/>
    <s v="Future"/>
    <x v="7"/>
    <s v="Day"/>
    <x v="70"/>
    <x v="70"/>
    <n v="12"/>
    <x v="14"/>
    <x v="2"/>
  </r>
  <r>
    <s v="SCH00716"/>
    <d v="2026-07-21T00:00:00"/>
    <s v="Tuesday"/>
    <s v="Future"/>
    <x v="7"/>
    <s v="Night"/>
    <x v="71"/>
    <x v="71"/>
    <n v="12"/>
    <x v="28"/>
    <x v="2"/>
  </r>
  <r>
    <s v="SCH00717"/>
    <d v="2026-07-21T00:00:00"/>
    <s v="Tuesday"/>
    <s v="Future"/>
    <x v="8"/>
    <s v="Day"/>
    <x v="70"/>
    <x v="70"/>
    <n v="12"/>
    <x v="30"/>
    <x v="2"/>
  </r>
  <r>
    <s v="SCH00718"/>
    <d v="2026-07-21T00:00:00"/>
    <s v="Tuesday"/>
    <s v="Future"/>
    <x v="8"/>
    <s v="Night"/>
    <x v="71"/>
    <x v="71"/>
    <n v="12"/>
    <x v="44"/>
    <x v="2"/>
  </r>
  <r>
    <s v="SCH00719"/>
    <d v="2026-07-21T00:00:00"/>
    <s v="Tuesday"/>
    <s v="Future"/>
    <x v="9"/>
    <s v="Day"/>
    <x v="70"/>
    <x v="70"/>
    <n v="12"/>
    <x v="31"/>
    <x v="2"/>
  </r>
  <r>
    <s v="SCH00720"/>
    <d v="2026-07-21T00:00:00"/>
    <s v="Tuesday"/>
    <s v="Future"/>
    <x v="9"/>
    <s v="Night"/>
    <x v="71"/>
    <x v="71"/>
    <n v="12"/>
    <x v="42"/>
    <x v="2"/>
  </r>
  <r>
    <s v="SCH00721"/>
    <d v="2026-07-22T00:00:00"/>
    <s v="Wednesday"/>
    <s v="Future"/>
    <x v="0"/>
    <s v="Day"/>
    <x v="72"/>
    <x v="72"/>
    <n v="12"/>
    <x v="0"/>
    <x v="2"/>
  </r>
  <r>
    <s v="SCH00722"/>
    <d v="2026-07-22T00:00:00"/>
    <s v="Wednesday"/>
    <s v="Future"/>
    <x v="0"/>
    <s v="Night"/>
    <x v="73"/>
    <x v="73"/>
    <n v="12"/>
    <x v="1"/>
    <x v="2"/>
  </r>
  <r>
    <s v="SCH00723"/>
    <d v="2026-07-22T00:00:00"/>
    <s v="Wednesday"/>
    <s v="Future"/>
    <x v="1"/>
    <s v="Day"/>
    <x v="72"/>
    <x v="72"/>
    <n v="12"/>
    <x v="45"/>
    <x v="2"/>
  </r>
  <r>
    <s v="SCH00724"/>
    <d v="2026-07-22T00:00:00"/>
    <s v="Wednesday"/>
    <s v="Future"/>
    <x v="1"/>
    <s v="Night"/>
    <x v="73"/>
    <x v="73"/>
    <n v="12"/>
    <x v="40"/>
    <x v="2"/>
  </r>
  <r>
    <s v="SCH00725"/>
    <d v="2026-07-22T00:00:00"/>
    <s v="Wednesday"/>
    <s v="Future"/>
    <x v="2"/>
    <s v="Day"/>
    <x v="72"/>
    <x v="72"/>
    <n v="12"/>
    <x v="37"/>
    <x v="2"/>
  </r>
  <r>
    <s v="SCH00726"/>
    <d v="2026-07-22T00:00:00"/>
    <s v="Wednesday"/>
    <s v="Future"/>
    <x v="2"/>
    <s v="Night"/>
    <x v="73"/>
    <x v="73"/>
    <n v="12"/>
    <x v="4"/>
    <x v="2"/>
  </r>
  <r>
    <s v="SCH00727"/>
    <d v="2026-07-22T00:00:00"/>
    <s v="Wednesday"/>
    <s v="Future"/>
    <x v="3"/>
    <s v="Day"/>
    <x v="72"/>
    <x v="72"/>
    <n v="12"/>
    <x v="6"/>
    <x v="2"/>
  </r>
  <r>
    <s v="SCH00728"/>
    <d v="2026-07-22T00:00:00"/>
    <s v="Wednesday"/>
    <s v="Future"/>
    <x v="3"/>
    <s v="Night"/>
    <x v="73"/>
    <x v="73"/>
    <n v="12"/>
    <x v="38"/>
    <x v="2"/>
  </r>
  <r>
    <s v="SCH00729"/>
    <d v="2026-07-22T00:00:00"/>
    <s v="Wednesday"/>
    <s v="Future"/>
    <x v="4"/>
    <s v="Day"/>
    <x v="72"/>
    <x v="72"/>
    <n v="12"/>
    <x v="24"/>
    <x v="2"/>
  </r>
  <r>
    <s v="SCH00730"/>
    <d v="2026-07-22T00:00:00"/>
    <s v="Wednesday"/>
    <s v="Future"/>
    <x v="4"/>
    <s v="Night"/>
    <x v="73"/>
    <x v="73"/>
    <n v="12"/>
    <x v="43"/>
    <x v="2"/>
  </r>
  <r>
    <s v="SCH00731"/>
    <d v="2026-07-22T00:00:00"/>
    <s v="Wednesday"/>
    <s v="Future"/>
    <x v="5"/>
    <s v="Day"/>
    <x v="72"/>
    <x v="72"/>
    <n v="12"/>
    <x v="10"/>
    <x v="2"/>
  </r>
  <r>
    <s v="SCH00732"/>
    <d v="2026-07-22T00:00:00"/>
    <s v="Wednesday"/>
    <s v="Future"/>
    <x v="5"/>
    <s v="Night"/>
    <x v="73"/>
    <x v="73"/>
    <n v="12"/>
    <x v="25"/>
    <x v="2"/>
  </r>
  <r>
    <s v="SCH00733"/>
    <d v="2026-07-22T00:00:00"/>
    <s v="Wednesday"/>
    <s v="Future"/>
    <x v="6"/>
    <s v="Day"/>
    <x v="72"/>
    <x v="72"/>
    <n v="12"/>
    <x v="27"/>
    <x v="2"/>
  </r>
  <r>
    <s v="SCH00734"/>
    <d v="2026-07-22T00:00:00"/>
    <s v="Wednesday"/>
    <s v="Future"/>
    <x v="6"/>
    <s v="Night"/>
    <x v="73"/>
    <x v="73"/>
    <n v="12"/>
    <x v="35"/>
    <x v="2"/>
  </r>
  <r>
    <s v="SCH00735"/>
    <d v="2026-07-22T00:00:00"/>
    <s v="Wednesday"/>
    <s v="Future"/>
    <x v="7"/>
    <s v="Day"/>
    <x v="72"/>
    <x v="72"/>
    <n v="12"/>
    <x v="15"/>
    <x v="2"/>
  </r>
  <r>
    <s v="SCH00736"/>
    <d v="2026-07-22T00:00:00"/>
    <s v="Wednesday"/>
    <s v="Future"/>
    <x v="7"/>
    <s v="Night"/>
    <x v="73"/>
    <x v="73"/>
    <n v="12"/>
    <x v="29"/>
    <x v="2"/>
  </r>
  <r>
    <s v="SCH00737"/>
    <d v="2026-07-22T00:00:00"/>
    <s v="Wednesday"/>
    <s v="Future"/>
    <x v="8"/>
    <s v="Day"/>
    <x v="72"/>
    <x v="72"/>
    <n v="12"/>
    <x v="44"/>
    <x v="2"/>
  </r>
  <r>
    <s v="SCH00738"/>
    <d v="2026-07-22T00:00:00"/>
    <s v="Wednesday"/>
    <s v="Future"/>
    <x v="8"/>
    <s v="Night"/>
    <x v="73"/>
    <x v="73"/>
    <n v="12"/>
    <x v="39"/>
    <x v="2"/>
  </r>
  <r>
    <s v="SCH00739"/>
    <d v="2026-07-22T00:00:00"/>
    <s v="Wednesday"/>
    <s v="Future"/>
    <x v="9"/>
    <s v="Day"/>
    <x v="72"/>
    <x v="72"/>
    <n v="12"/>
    <x v="18"/>
    <x v="2"/>
  </r>
  <r>
    <s v="SCH00740"/>
    <d v="2026-07-22T00:00:00"/>
    <s v="Wednesday"/>
    <s v="Future"/>
    <x v="9"/>
    <s v="Night"/>
    <x v="73"/>
    <x v="73"/>
    <n v="12"/>
    <x v="32"/>
    <x v="2"/>
  </r>
  <r>
    <s v="SCH00741"/>
    <d v="2026-07-23T00:00:00"/>
    <s v="Thursday"/>
    <s v="Future"/>
    <x v="0"/>
    <s v="Day"/>
    <x v="74"/>
    <x v="74"/>
    <n v="12"/>
    <x v="20"/>
    <x v="2"/>
  </r>
  <r>
    <s v="SCH00742"/>
    <d v="2026-07-23T00:00:00"/>
    <s v="Thursday"/>
    <s v="Future"/>
    <x v="0"/>
    <s v="Night"/>
    <x v="75"/>
    <x v="75"/>
    <n v="12"/>
    <x v="1"/>
    <x v="2"/>
  </r>
  <r>
    <s v="SCH00743"/>
    <d v="2026-07-23T00:00:00"/>
    <s v="Thursday"/>
    <s v="Future"/>
    <x v="1"/>
    <s v="Day"/>
    <x v="74"/>
    <x v="74"/>
    <n v="12"/>
    <x v="3"/>
    <x v="2"/>
  </r>
  <r>
    <s v="SCH00744"/>
    <d v="2026-07-23T00:00:00"/>
    <s v="Thursday"/>
    <s v="Future"/>
    <x v="1"/>
    <s v="Night"/>
    <x v="75"/>
    <x v="75"/>
    <n v="12"/>
    <x v="45"/>
    <x v="2"/>
  </r>
  <r>
    <s v="SCH00745"/>
    <d v="2026-07-23T00:00:00"/>
    <s v="Thursday"/>
    <s v="Future"/>
    <x v="2"/>
    <s v="Day"/>
    <x v="74"/>
    <x v="74"/>
    <n v="12"/>
    <x v="4"/>
    <x v="2"/>
  </r>
  <r>
    <s v="SCH00746"/>
    <d v="2026-07-23T00:00:00"/>
    <s v="Thursday"/>
    <s v="Future"/>
    <x v="2"/>
    <s v="Night"/>
    <x v="75"/>
    <x v="75"/>
    <n v="12"/>
    <x v="37"/>
    <x v="2"/>
  </r>
  <r>
    <s v="SCH00747"/>
    <d v="2026-07-23T00:00:00"/>
    <s v="Thursday"/>
    <s v="Future"/>
    <x v="3"/>
    <s v="Day"/>
    <x v="74"/>
    <x v="74"/>
    <n v="12"/>
    <x v="34"/>
    <x v="2"/>
  </r>
  <r>
    <s v="SCH00748"/>
    <d v="2026-07-23T00:00:00"/>
    <s v="Thursday"/>
    <s v="Future"/>
    <x v="3"/>
    <s v="Night"/>
    <x v="75"/>
    <x v="75"/>
    <n v="12"/>
    <x v="38"/>
    <x v="2"/>
  </r>
  <r>
    <s v="SCH00749"/>
    <d v="2026-07-23T00:00:00"/>
    <s v="Thursday"/>
    <s v="Future"/>
    <x v="4"/>
    <s v="Day"/>
    <x v="74"/>
    <x v="74"/>
    <n v="12"/>
    <x v="24"/>
    <x v="2"/>
  </r>
  <r>
    <s v="SCH00750"/>
    <d v="2026-07-23T00:00:00"/>
    <s v="Thursday"/>
    <s v="Future"/>
    <x v="4"/>
    <s v="Night"/>
    <x v="75"/>
    <x v="75"/>
    <n v="12"/>
    <x v="8"/>
    <x v="2"/>
  </r>
  <r>
    <s v="SCH00751"/>
    <d v="2026-07-23T00:00:00"/>
    <s v="Thursday"/>
    <s v="Future"/>
    <x v="5"/>
    <s v="Day"/>
    <x v="74"/>
    <x v="74"/>
    <n v="12"/>
    <x v="26"/>
    <x v="2"/>
  </r>
  <r>
    <s v="SCH00752"/>
    <d v="2026-07-23T00:00:00"/>
    <s v="Thursday"/>
    <s v="Future"/>
    <x v="5"/>
    <s v="Night"/>
    <x v="75"/>
    <x v="75"/>
    <n v="12"/>
    <x v="10"/>
    <x v="2"/>
  </r>
  <r>
    <s v="SCH00753"/>
    <d v="2026-07-23T00:00:00"/>
    <s v="Thursday"/>
    <s v="Future"/>
    <x v="6"/>
    <s v="Day"/>
    <x v="74"/>
    <x v="74"/>
    <n v="12"/>
    <x v="27"/>
    <x v="2"/>
  </r>
  <r>
    <s v="SCH00754"/>
    <d v="2026-07-23T00:00:00"/>
    <s v="Thursday"/>
    <s v="Future"/>
    <x v="6"/>
    <s v="Night"/>
    <x v="75"/>
    <x v="75"/>
    <n v="12"/>
    <x v="12"/>
    <x v="2"/>
  </r>
  <r>
    <s v="SCH00755"/>
    <d v="2026-07-23T00:00:00"/>
    <s v="Thursday"/>
    <s v="Future"/>
    <x v="7"/>
    <s v="Day"/>
    <x v="74"/>
    <x v="74"/>
    <n v="12"/>
    <x v="29"/>
    <x v="2"/>
  </r>
  <r>
    <s v="SCH00756"/>
    <d v="2026-07-23T00:00:00"/>
    <s v="Thursday"/>
    <s v="Future"/>
    <x v="7"/>
    <s v="Night"/>
    <x v="75"/>
    <x v="75"/>
    <n v="12"/>
    <x v="15"/>
    <x v="2"/>
  </r>
  <r>
    <s v="SCH00757"/>
    <d v="2026-07-23T00:00:00"/>
    <s v="Thursday"/>
    <s v="Future"/>
    <x v="8"/>
    <s v="Day"/>
    <x v="74"/>
    <x v="74"/>
    <n v="12"/>
    <x v="17"/>
    <x v="2"/>
  </r>
  <r>
    <s v="SCH00758"/>
    <d v="2026-07-23T00:00:00"/>
    <s v="Thursday"/>
    <s v="Future"/>
    <x v="8"/>
    <s v="Night"/>
    <x v="75"/>
    <x v="75"/>
    <n v="12"/>
    <x v="39"/>
    <x v="2"/>
  </r>
  <r>
    <s v="SCH00759"/>
    <d v="2026-07-23T00:00:00"/>
    <s v="Thursday"/>
    <s v="Future"/>
    <x v="9"/>
    <s v="Day"/>
    <x v="74"/>
    <x v="74"/>
    <n v="12"/>
    <x v="18"/>
    <x v="2"/>
  </r>
  <r>
    <s v="SCH00760"/>
    <d v="2026-07-23T00:00:00"/>
    <s v="Thursday"/>
    <s v="Future"/>
    <x v="9"/>
    <s v="Night"/>
    <x v="75"/>
    <x v="75"/>
    <n v="12"/>
    <x v="32"/>
    <x v="2"/>
  </r>
  <r>
    <s v="SCH00761"/>
    <d v="2026-07-24T00:00:00"/>
    <s v="Friday"/>
    <s v="Future"/>
    <x v="0"/>
    <s v="Day"/>
    <x v="76"/>
    <x v="76"/>
    <n v="12"/>
    <x v="1"/>
    <x v="2"/>
  </r>
  <r>
    <s v="SCH00762"/>
    <d v="2026-07-24T00:00:00"/>
    <s v="Friday"/>
    <s v="Future"/>
    <x v="0"/>
    <s v="Night"/>
    <x v="77"/>
    <x v="77"/>
    <n v="12"/>
    <x v="0"/>
    <x v="2"/>
  </r>
  <r>
    <s v="SCH00763"/>
    <d v="2026-07-24T00:00:00"/>
    <s v="Friday"/>
    <s v="Future"/>
    <x v="1"/>
    <s v="Day"/>
    <x v="76"/>
    <x v="76"/>
    <n v="12"/>
    <x v="40"/>
    <x v="2"/>
  </r>
  <r>
    <s v="SCH00764"/>
    <d v="2026-07-24T00:00:00"/>
    <s v="Friday"/>
    <s v="Future"/>
    <x v="1"/>
    <s v="Night"/>
    <x v="77"/>
    <x v="77"/>
    <n v="12"/>
    <x v="45"/>
    <x v="2"/>
  </r>
  <r>
    <s v="SCH00765"/>
    <d v="2026-07-24T00:00:00"/>
    <s v="Friday"/>
    <s v="Future"/>
    <x v="2"/>
    <s v="Day"/>
    <x v="76"/>
    <x v="76"/>
    <n v="12"/>
    <x v="33"/>
    <x v="2"/>
  </r>
  <r>
    <s v="SCH00766"/>
    <d v="2026-07-24T00:00:00"/>
    <s v="Friday"/>
    <s v="Future"/>
    <x v="2"/>
    <s v="Night"/>
    <x v="77"/>
    <x v="77"/>
    <n v="12"/>
    <x v="4"/>
    <x v="2"/>
  </r>
  <r>
    <s v="SCH00767"/>
    <d v="2026-07-24T00:00:00"/>
    <s v="Friday"/>
    <s v="Future"/>
    <x v="3"/>
    <s v="Day"/>
    <x v="76"/>
    <x v="76"/>
    <n v="12"/>
    <x v="6"/>
    <x v="2"/>
  </r>
  <r>
    <s v="SCH00768"/>
    <d v="2026-07-24T00:00:00"/>
    <s v="Friday"/>
    <s v="Future"/>
    <x v="3"/>
    <s v="Night"/>
    <x v="77"/>
    <x v="77"/>
    <n v="12"/>
    <x v="34"/>
    <x v="2"/>
  </r>
  <r>
    <s v="SCH00769"/>
    <d v="2026-07-24T00:00:00"/>
    <s v="Friday"/>
    <s v="Future"/>
    <x v="4"/>
    <s v="Day"/>
    <x v="76"/>
    <x v="76"/>
    <n v="12"/>
    <x v="8"/>
    <x v="2"/>
  </r>
  <r>
    <s v="SCH00770"/>
    <d v="2026-07-24T00:00:00"/>
    <s v="Friday"/>
    <s v="Future"/>
    <x v="4"/>
    <s v="Night"/>
    <x v="77"/>
    <x v="77"/>
    <n v="12"/>
    <x v="24"/>
    <x v="2"/>
  </r>
  <r>
    <s v="SCH00771"/>
    <d v="2026-07-24T00:00:00"/>
    <s v="Friday"/>
    <s v="Future"/>
    <x v="5"/>
    <s v="Day"/>
    <x v="76"/>
    <x v="76"/>
    <n v="12"/>
    <x v="10"/>
    <x v="2"/>
  </r>
  <r>
    <s v="SCH00772"/>
    <d v="2026-07-24T00:00:00"/>
    <s v="Friday"/>
    <s v="Future"/>
    <x v="5"/>
    <s v="Night"/>
    <x v="77"/>
    <x v="77"/>
    <n v="12"/>
    <x v="25"/>
    <x v="2"/>
  </r>
  <r>
    <s v="SCH00773"/>
    <d v="2026-07-24T00:00:00"/>
    <s v="Friday"/>
    <s v="Future"/>
    <x v="6"/>
    <s v="Day"/>
    <x v="76"/>
    <x v="76"/>
    <n v="12"/>
    <x v="27"/>
    <x v="2"/>
  </r>
  <r>
    <s v="SCH00774"/>
    <d v="2026-07-24T00:00:00"/>
    <s v="Friday"/>
    <s v="Future"/>
    <x v="6"/>
    <s v="Night"/>
    <x v="77"/>
    <x v="77"/>
    <n v="12"/>
    <x v="36"/>
    <x v="2"/>
  </r>
  <r>
    <s v="SCH00775"/>
    <d v="2026-07-24T00:00:00"/>
    <s v="Friday"/>
    <s v="Future"/>
    <x v="7"/>
    <s v="Day"/>
    <x v="76"/>
    <x v="76"/>
    <n v="12"/>
    <x v="14"/>
    <x v="2"/>
  </r>
  <r>
    <s v="SCH00776"/>
    <d v="2026-07-24T00:00:00"/>
    <s v="Friday"/>
    <s v="Future"/>
    <x v="7"/>
    <s v="Night"/>
    <x v="77"/>
    <x v="77"/>
    <n v="12"/>
    <x v="28"/>
    <x v="2"/>
  </r>
  <r>
    <s v="SCH00777"/>
    <d v="2026-07-24T00:00:00"/>
    <s v="Friday"/>
    <s v="Future"/>
    <x v="8"/>
    <s v="Day"/>
    <x v="76"/>
    <x v="76"/>
    <n v="12"/>
    <x v="16"/>
    <x v="2"/>
  </r>
  <r>
    <s v="SCH00778"/>
    <d v="2026-07-24T00:00:00"/>
    <s v="Friday"/>
    <s v="Future"/>
    <x v="8"/>
    <s v="Night"/>
    <x v="77"/>
    <x v="77"/>
    <n v="12"/>
    <x v="44"/>
    <x v="2"/>
  </r>
  <r>
    <s v="SCH00779"/>
    <d v="2026-07-24T00:00:00"/>
    <s v="Friday"/>
    <s v="Future"/>
    <x v="9"/>
    <s v="Day"/>
    <x v="76"/>
    <x v="76"/>
    <n v="12"/>
    <x v="18"/>
    <x v="2"/>
  </r>
  <r>
    <s v="SCH00780"/>
    <d v="2026-07-24T00:00:00"/>
    <s v="Friday"/>
    <s v="Future"/>
    <x v="9"/>
    <s v="Night"/>
    <x v="77"/>
    <x v="77"/>
    <n v="12"/>
    <x v="19"/>
    <x v="2"/>
  </r>
  <r>
    <s v="SCH00781"/>
    <d v="2026-07-25T00:00:00"/>
    <s v="Saturday"/>
    <s v="Future"/>
    <x v="0"/>
    <s v="Day"/>
    <x v="78"/>
    <x v="78"/>
    <n v="12"/>
    <x v="20"/>
    <x v="2"/>
  </r>
  <r>
    <s v="SCH00782"/>
    <d v="2026-07-25T00:00:00"/>
    <s v="Saturday"/>
    <s v="Future"/>
    <x v="0"/>
    <s v="Night"/>
    <x v="79"/>
    <x v="79"/>
    <n v="12"/>
    <x v="1"/>
    <x v="2"/>
  </r>
  <r>
    <s v="SCH00783"/>
    <d v="2026-07-25T00:00:00"/>
    <s v="Saturday"/>
    <s v="Future"/>
    <x v="1"/>
    <s v="Day"/>
    <x v="78"/>
    <x v="78"/>
    <n v="12"/>
    <x v="3"/>
    <x v="2"/>
  </r>
  <r>
    <s v="SCH00784"/>
    <d v="2026-07-25T00:00:00"/>
    <s v="Saturday"/>
    <s v="Future"/>
    <x v="1"/>
    <s v="Night"/>
    <x v="79"/>
    <x v="79"/>
    <n v="12"/>
    <x v="2"/>
    <x v="2"/>
  </r>
  <r>
    <s v="SCH00785"/>
    <d v="2026-07-25T00:00:00"/>
    <s v="Saturday"/>
    <s v="Future"/>
    <x v="2"/>
    <s v="Day"/>
    <x v="78"/>
    <x v="78"/>
    <n v="12"/>
    <x v="22"/>
    <x v="2"/>
  </r>
  <r>
    <s v="SCH00786"/>
    <d v="2026-07-25T00:00:00"/>
    <s v="Saturday"/>
    <s v="Future"/>
    <x v="2"/>
    <s v="Night"/>
    <x v="79"/>
    <x v="79"/>
    <n v="12"/>
    <x v="5"/>
    <x v="2"/>
  </r>
  <r>
    <s v="SCH00787"/>
    <d v="2026-07-25T00:00:00"/>
    <s v="Saturday"/>
    <s v="Future"/>
    <x v="3"/>
    <s v="Day"/>
    <x v="78"/>
    <x v="78"/>
    <n v="12"/>
    <x v="38"/>
    <x v="2"/>
  </r>
  <r>
    <s v="SCH00788"/>
    <d v="2026-07-25T00:00:00"/>
    <s v="Saturday"/>
    <s v="Future"/>
    <x v="3"/>
    <s v="Night"/>
    <x v="79"/>
    <x v="79"/>
    <n v="12"/>
    <x v="7"/>
    <x v="2"/>
  </r>
  <r>
    <s v="SCH00789"/>
    <d v="2026-07-25T00:00:00"/>
    <s v="Saturday"/>
    <s v="Future"/>
    <x v="4"/>
    <s v="Day"/>
    <x v="78"/>
    <x v="78"/>
    <n v="12"/>
    <x v="8"/>
    <x v="2"/>
  </r>
  <r>
    <s v="SCH00790"/>
    <d v="2026-07-25T00:00:00"/>
    <s v="Saturday"/>
    <s v="Future"/>
    <x v="4"/>
    <s v="Night"/>
    <x v="79"/>
    <x v="79"/>
    <n v="12"/>
    <x v="24"/>
    <x v="2"/>
  </r>
  <r>
    <s v="SCH00791"/>
    <d v="2026-07-25T00:00:00"/>
    <s v="Saturday"/>
    <s v="Future"/>
    <x v="5"/>
    <s v="Day"/>
    <x v="78"/>
    <x v="78"/>
    <n v="12"/>
    <x v="41"/>
    <x v="2"/>
  </r>
  <r>
    <s v="SCH00792"/>
    <d v="2026-07-25T00:00:00"/>
    <s v="Saturday"/>
    <s v="Future"/>
    <x v="5"/>
    <s v="Night"/>
    <x v="79"/>
    <x v="79"/>
    <n v="12"/>
    <x v="11"/>
    <x v="2"/>
  </r>
  <r>
    <s v="SCH00793"/>
    <d v="2026-07-25T00:00:00"/>
    <s v="Saturday"/>
    <s v="Future"/>
    <x v="6"/>
    <s v="Day"/>
    <x v="78"/>
    <x v="78"/>
    <n v="12"/>
    <x v="27"/>
    <x v="2"/>
  </r>
  <r>
    <s v="SCH00794"/>
    <d v="2026-07-25T00:00:00"/>
    <s v="Saturday"/>
    <s v="Future"/>
    <x v="6"/>
    <s v="Night"/>
    <x v="79"/>
    <x v="79"/>
    <n v="12"/>
    <x v="35"/>
    <x v="2"/>
  </r>
  <r>
    <s v="SCH00795"/>
    <d v="2026-07-25T00:00:00"/>
    <s v="Saturday"/>
    <s v="Future"/>
    <x v="7"/>
    <s v="Day"/>
    <x v="78"/>
    <x v="78"/>
    <n v="12"/>
    <x v="14"/>
    <x v="2"/>
  </r>
  <r>
    <s v="SCH00796"/>
    <d v="2026-07-25T00:00:00"/>
    <s v="Saturday"/>
    <s v="Future"/>
    <x v="7"/>
    <s v="Night"/>
    <x v="79"/>
    <x v="79"/>
    <n v="12"/>
    <x v="28"/>
    <x v="2"/>
  </r>
  <r>
    <s v="SCH00797"/>
    <d v="2026-07-25T00:00:00"/>
    <s v="Saturday"/>
    <s v="Future"/>
    <x v="8"/>
    <s v="Day"/>
    <x v="78"/>
    <x v="78"/>
    <n v="12"/>
    <x v="16"/>
    <x v="2"/>
  </r>
  <r>
    <s v="SCH00798"/>
    <d v="2026-07-25T00:00:00"/>
    <s v="Saturday"/>
    <s v="Future"/>
    <x v="8"/>
    <s v="Night"/>
    <x v="79"/>
    <x v="79"/>
    <n v="12"/>
    <x v="39"/>
    <x v="2"/>
  </r>
  <r>
    <s v="SCH00799"/>
    <d v="2026-07-25T00:00:00"/>
    <s v="Saturday"/>
    <s v="Future"/>
    <x v="9"/>
    <s v="Day"/>
    <x v="78"/>
    <x v="78"/>
    <n v="12"/>
    <x v="42"/>
    <x v="2"/>
  </r>
  <r>
    <s v="SCH00800"/>
    <d v="2026-07-25T00:00:00"/>
    <s v="Saturday"/>
    <s v="Future"/>
    <x v="9"/>
    <s v="Night"/>
    <x v="79"/>
    <x v="79"/>
    <n v="12"/>
    <x v="31"/>
    <x v="2"/>
  </r>
  <r>
    <s v="SCH00801"/>
    <d v="2026-07-26T00:00:00"/>
    <s v="Sunday"/>
    <s v="Future"/>
    <x v="0"/>
    <s v="Day"/>
    <x v="80"/>
    <x v="80"/>
    <n v="12"/>
    <x v="20"/>
    <x v="2"/>
  </r>
  <r>
    <s v="SCH00802"/>
    <d v="2026-07-26T00:00:00"/>
    <s v="Sunday"/>
    <s v="Future"/>
    <x v="0"/>
    <s v="Night"/>
    <x v="81"/>
    <x v="81"/>
    <n v="12"/>
    <x v="1"/>
    <x v="2"/>
  </r>
  <r>
    <s v="SCH00803"/>
    <d v="2026-07-26T00:00:00"/>
    <s v="Sunday"/>
    <s v="Future"/>
    <x v="1"/>
    <s v="Day"/>
    <x v="80"/>
    <x v="80"/>
    <n v="12"/>
    <x v="45"/>
    <x v="2"/>
  </r>
  <r>
    <s v="SCH00804"/>
    <d v="2026-07-26T00:00:00"/>
    <s v="Sunday"/>
    <s v="Future"/>
    <x v="1"/>
    <s v="Night"/>
    <x v="81"/>
    <x v="81"/>
    <n v="12"/>
    <x v="40"/>
    <x v="2"/>
  </r>
  <r>
    <s v="SCH00805"/>
    <d v="2026-07-26T00:00:00"/>
    <s v="Sunday"/>
    <s v="Future"/>
    <x v="2"/>
    <s v="Day"/>
    <x v="80"/>
    <x v="80"/>
    <n v="12"/>
    <x v="37"/>
    <x v="2"/>
  </r>
  <r>
    <s v="SCH00806"/>
    <d v="2026-07-26T00:00:00"/>
    <s v="Sunday"/>
    <s v="Future"/>
    <x v="2"/>
    <s v="Night"/>
    <x v="81"/>
    <x v="81"/>
    <n v="12"/>
    <x v="33"/>
    <x v="2"/>
  </r>
  <r>
    <s v="SCH00807"/>
    <d v="2026-07-26T00:00:00"/>
    <s v="Sunday"/>
    <s v="Future"/>
    <x v="3"/>
    <s v="Day"/>
    <x v="80"/>
    <x v="80"/>
    <n v="12"/>
    <x v="34"/>
    <x v="2"/>
  </r>
  <r>
    <s v="SCH00808"/>
    <d v="2026-07-26T00:00:00"/>
    <s v="Sunday"/>
    <s v="Future"/>
    <x v="3"/>
    <s v="Night"/>
    <x v="81"/>
    <x v="81"/>
    <n v="12"/>
    <x v="6"/>
    <x v="2"/>
  </r>
  <r>
    <s v="SCH00809"/>
    <d v="2026-07-26T00:00:00"/>
    <s v="Sunday"/>
    <s v="Future"/>
    <x v="4"/>
    <s v="Day"/>
    <x v="80"/>
    <x v="80"/>
    <n v="12"/>
    <x v="9"/>
    <x v="2"/>
  </r>
  <r>
    <s v="SCH00810"/>
    <d v="2026-07-26T00:00:00"/>
    <s v="Sunday"/>
    <s v="Future"/>
    <x v="4"/>
    <s v="Night"/>
    <x v="81"/>
    <x v="81"/>
    <n v="12"/>
    <x v="24"/>
    <x v="2"/>
  </r>
  <r>
    <s v="SCH00811"/>
    <d v="2026-07-26T00:00:00"/>
    <s v="Sunday"/>
    <s v="Future"/>
    <x v="5"/>
    <s v="Day"/>
    <x v="80"/>
    <x v="80"/>
    <n v="12"/>
    <x v="26"/>
    <x v="2"/>
  </r>
  <r>
    <s v="SCH00812"/>
    <d v="2026-07-26T00:00:00"/>
    <s v="Sunday"/>
    <s v="Future"/>
    <x v="5"/>
    <s v="Night"/>
    <x v="81"/>
    <x v="81"/>
    <n v="12"/>
    <x v="10"/>
    <x v="2"/>
  </r>
  <r>
    <s v="SCH00813"/>
    <d v="2026-07-26T00:00:00"/>
    <s v="Sunday"/>
    <s v="Future"/>
    <x v="6"/>
    <s v="Day"/>
    <x v="80"/>
    <x v="80"/>
    <n v="12"/>
    <x v="13"/>
    <x v="2"/>
  </r>
  <r>
    <s v="SCH00814"/>
    <d v="2026-07-26T00:00:00"/>
    <s v="Sunday"/>
    <s v="Future"/>
    <x v="6"/>
    <s v="Night"/>
    <x v="81"/>
    <x v="81"/>
    <n v="12"/>
    <x v="12"/>
    <x v="2"/>
  </r>
  <r>
    <s v="SCH00815"/>
    <d v="2026-07-26T00:00:00"/>
    <s v="Sunday"/>
    <s v="Future"/>
    <x v="7"/>
    <s v="Day"/>
    <x v="80"/>
    <x v="80"/>
    <n v="12"/>
    <x v="15"/>
    <x v="2"/>
  </r>
  <r>
    <s v="SCH00816"/>
    <d v="2026-07-26T00:00:00"/>
    <s v="Sunday"/>
    <s v="Future"/>
    <x v="7"/>
    <s v="Night"/>
    <x v="81"/>
    <x v="81"/>
    <n v="12"/>
    <x v="29"/>
    <x v="2"/>
  </r>
  <r>
    <s v="SCH00817"/>
    <d v="2026-07-26T00:00:00"/>
    <s v="Sunday"/>
    <s v="Future"/>
    <x v="8"/>
    <s v="Day"/>
    <x v="80"/>
    <x v="80"/>
    <n v="12"/>
    <x v="16"/>
    <x v="2"/>
  </r>
  <r>
    <s v="SCH00818"/>
    <d v="2026-07-26T00:00:00"/>
    <s v="Sunday"/>
    <s v="Future"/>
    <x v="8"/>
    <s v="Night"/>
    <x v="81"/>
    <x v="81"/>
    <n v="12"/>
    <x v="17"/>
    <x v="2"/>
  </r>
  <r>
    <s v="SCH00819"/>
    <d v="2026-07-26T00:00:00"/>
    <s v="Sunday"/>
    <s v="Future"/>
    <x v="9"/>
    <s v="Day"/>
    <x v="80"/>
    <x v="80"/>
    <n v="12"/>
    <x v="19"/>
    <x v="2"/>
  </r>
  <r>
    <s v="SCH00820"/>
    <d v="2026-07-26T00:00:00"/>
    <s v="Sunday"/>
    <s v="Future"/>
    <x v="9"/>
    <s v="Night"/>
    <x v="81"/>
    <x v="81"/>
    <n v="12"/>
    <x v="31"/>
    <x v="2"/>
  </r>
  <r>
    <s v="SCH00821"/>
    <d v="2026-07-27T00:00:00"/>
    <s v="Monday"/>
    <s v="Future"/>
    <x v="0"/>
    <s v="Day"/>
    <x v="82"/>
    <x v="82"/>
    <n v="12"/>
    <x v="20"/>
    <x v="2"/>
  </r>
  <r>
    <s v="SCH00822"/>
    <d v="2026-07-27T00:00:00"/>
    <s v="Monday"/>
    <s v="Future"/>
    <x v="0"/>
    <s v="Night"/>
    <x v="83"/>
    <x v="83"/>
    <n v="12"/>
    <x v="0"/>
    <x v="2"/>
  </r>
  <r>
    <s v="SCH00823"/>
    <d v="2026-07-27T00:00:00"/>
    <s v="Monday"/>
    <s v="Future"/>
    <x v="1"/>
    <s v="Day"/>
    <x v="82"/>
    <x v="82"/>
    <n v="12"/>
    <x v="3"/>
    <x v="2"/>
  </r>
  <r>
    <s v="SCH00824"/>
    <d v="2026-07-27T00:00:00"/>
    <s v="Monday"/>
    <s v="Future"/>
    <x v="1"/>
    <s v="Night"/>
    <x v="83"/>
    <x v="83"/>
    <n v="12"/>
    <x v="21"/>
    <x v="2"/>
  </r>
  <r>
    <s v="SCH00825"/>
    <d v="2026-07-27T00:00:00"/>
    <s v="Monday"/>
    <s v="Future"/>
    <x v="2"/>
    <s v="Day"/>
    <x v="82"/>
    <x v="82"/>
    <n v="12"/>
    <x v="22"/>
    <x v="2"/>
  </r>
  <r>
    <s v="SCH00826"/>
    <d v="2026-07-27T00:00:00"/>
    <s v="Monday"/>
    <s v="Future"/>
    <x v="2"/>
    <s v="Night"/>
    <x v="83"/>
    <x v="83"/>
    <n v="12"/>
    <x v="4"/>
    <x v="2"/>
  </r>
  <r>
    <s v="SCH00827"/>
    <d v="2026-07-27T00:00:00"/>
    <s v="Monday"/>
    <s v="Future"/>
    <x v="3"/>
    <s v="Day"/>
    <x v="82"/>
    <x v="82"/>
    <n v="12"/>
    <x v="34"/>
    <x v="2"/>
  </r>
  <r>
    <s v="SCH00828"/>
    <d v="2026-07-27T00:00:00"/>
    <s v="Monday"/>
    <s v="Future"/>
    <x v="3"/>
    <s v="Night"/>
    <x v="83"/>
    <x v="83"/>
    <n v="12"/>
    <x v="6"/>
    <x v="2"/>
  </r>
  <r>
    <s v="SCH00829"/>
    <d v="2026-07-27T00:00:00"/>
    <s v="Monday"/>
    <s v="Future"/>
    <x v="4"/>
    <s v="Day"/>
    <x v="82"/>
    <x v="82"/>
    <n v="12"/>
    <x v="8"/>
    <x v="2"/>
  </r>
  <r>
    <s v="SCH00830"/>
    <d v="2026-07-27T00:00:00"/>
    <s v="Monday"/>
    <s v="Future"/>
    <x v="4"/>
    <s v="Night"/>
    <x v="83"/>
    <x v="83"/>
    <n v="12"/>
    <x v="9"/>
    <x v="2"/>
  </r>
  <r>
    <s v="SCH00831"/>
    <d v="2026-07-27T00:00:00"/>
    <s v="Monday"/>
    <s v="Future"/>
    <x v="5"/>
    <s v="Day"/>
    <x v="82"/>
    <x v="82"/>
    <n v="12"/>
    <x v="26"/>
    <x v="2"/>
  </r>
  <r>
    <s v="SCH00832"/>
    <d v="2026-07-27T00:00:00"/>
    <s v="Monday"/>
    <s v="Future"/>
    <x v="5"/>
    <s v="Night"/>
    <x v="83"/>
    <x v="83"/>
    <n v="12"/>
    <x v="41"/>
    <x v="2"/>
  </r>
  <r>
    <s v="SCH00833"/>
    <d v="2026-07-27T00:00:00"/>
    <s v="Monday"/>
    <s v="Future"/>
    <x v="6"/>
    <s v="Day"/>
    <x v="82"/>
    <x v="82"/>
    <n v="12"/>
    <x v="36"/>
    <x v="2"/>
  </r>
  <r>
    <s v="SCH00834"/>
    <d v="2026-07-27T00:00:00"/>
    <s v="Monday"/>
    <s v="Future"/>
    <x v="6"/>
    <s v="Night"/>
    <x v="83"/>
    <x v="83"/>
    <n v="12"/>
    <x v="35"/>
    <x v="2"/>
  </r>
  <r>
    <s v="SCH00835"/>
    <d v="2026-07-27T00:00:00"/>
    <s v="Monday"/>
    <s v="Future"/>
    <x v="7"/>
    <s v="Day"/>
    <x v="82"/>
    <x v="82"/>
    <n v="12"/>
    <x v="15"/>
    <x v="2"/>
  </r>
  <r>
    <s v="SCH00836"/>
    <d v="2026-07-27T00:00:00"/>
    <s v="Monday"/>
    <s v="Future"/>
    <x v="7"/>
    <s v="Night"/>
    <x v="83"/>
    <x v="83"/>
    <n v="12"/>
    <x v="28"/>
    <x v="2"/>
  </r>
  <r>
    <s v="SCH00837"/>
    <d v="2026-07-27T00:00:00"/>
    <s v="Monday"/>
    <s v="Future"/>
    <x v="8"/>
    <s v="Day"/>
    <x v="82"/>
    <x v="82"/>
    <n v="12"/>
    <x v="44"/>
    <x v="2"/>
  </r>
  <r>
    <s v="SCH00838"/>
    <d v="2026-07-27T00:00:00"/>
    <s v="Monday"/>
    <s v="Future"/>
    <x v="8"/>
    <s v="Night"/>
    <x v="83"/>
    <x v="83"/>
    <n v="12"/>
    <x v="16"/>
    <x v="2"/>
  </r>
  <r>
    <s v="SCH00839"/>
    <d v="2026-07-27T00:00:00"/>
    <s v="Monday"/>
    <s v="Future"/>
    <x v="9"/>
    <s v="Day"/>
    <x v="82"/>
    <x v="82"/>
    <n v="12"/>
    <x v="42"/>
    <x v="2"/>
  </r>
  <r>
    <s v="SCH00840"/>
    <d v="2026-07-27T00:00:00"/>
    <s v="Monday"/>
    <s v="Future"/>
    <x v="9"/>
    <s v="Night"/>
    <x v="83"/>
    <x v="83"/>
    <n v="12"/>
    <x v="31"/>
    <x v="2"/>
  </r>
  <r>
    <s v="SCH00841"/>
    <d v="2026-07-28T00:00:00"/>
    <s v="Tuesday"/>
    <s v="Future"/>
    <x v="0"/>
    <s v="Day"/>
    <x v="84"/>
    <x v="84"/>
    <n v="12"/>
    <x v="0"/>
    <x v="2"/>
  </r>
  <r>
    <s v="SCH00842"/>
    <d v="2026-07-28T00:00:00"/>
    <s v="Tuesday"/>
    <s v="Future"/>
    <x v="0"/>
    <s v="Night"/>
    <x v="85"/>
    <x v="85"/>
    <n v="12"/>
    <x v="20"/>
    <x v="2"/>
  </r>
  <r>
    <s v="SCH00843"/>
    <d v="2026-07-28T00:00:00"/>
    <s v="Tuesday"/>
    <s v="Future"/>
    <x v="1"/>
    <s v="Day"/>
    <x v="84"/>
    <x v="84"/>
    <n v="12"/>
    <x v="2"/>
    <x v="2"/>
  </r>
  <r>
    <s v="SCH00844"/>
    <d v="2026-07-28T00:00:00"/>
    <s v="Tuesday"/>
    <s v="Future"/>
    <x v="1"/>
    <s v="Night"/>
    <x v="85"/>
    <x v="85"/>
    <n v="12"/>
    <x v="40"/>
    <x v="2"/>
  </r>
  <r>
    <s v="SCH00845"/>
    <d v="2026-07-28T00:00:00"/>
    <s v="Tuesday"/>
    <s v="Future"/>
    <x v="2"/>
    <s v="Day"/>
    <x v="84"/>
    <x v="84"/>
    <n v="12"/>
    <x v="37"/>
    <x v="2"/>
  </r>
  <r>
    <s v="SCH00846"/>
    <d v="2026-07-28T00:00:00"/>
    <s v="Tuesday"/>
    <s v="Future"/>
    <x v="2"/>
    <s v="Night"/>
    <x v="85"/>
    <x v="85"/>
    <n v="12"/>
    <x v="4"/>
    <x v="2"/>
  </r>
  <r>
    <s v="SCH00847"/>
    <d v="2026-07-28T00:00:00"/>
    <s v="Tuesday"/>
    <s v="Future"/>
    <x v="3"/>
    <s v="Day"/>
    <x v="84"/>
    <x v="84"/>
    <n v="12"/>
    <x v="7"/>
    <x v="2"/>
  </r>
  <r>
    <s v="SCH00848"/>
    <d v="2026-07-28T00:00:00"/>
    <s v="Tuesday"/>
    <s v="Future"/>
    <x v="3"/>
    <s v="Night"/>
    <x v="85"/>
    <x v="85"/>
    <n v="12"/>
    <x v="23"/>
    <x v="2"/>
  </r>
  <r>
    <s v="SCH00849"/>
    <d v="2026-07-28T00:00:00"/>
    <s v="Tuesday"/>
    <s v="Future"/>
    <x v="4"/>
    <s v="Day"/>
    <x v="84"/>
    <x v="84"/>
    <n v="12"/>
    <x v="43"/>
    <x v="2"/>
  </r>
  <r>
    <s v="SCH00850"/>
    <d v="2026-07-28T00:00:00"/>
    <s v="Tuesday"/>
    <s v="Future"/>
    <x v="4"/>
    <s v="Night"/>
    <x v="85"/>
    <x v="85"/>
    <n v="12"/>
    <x v="8"/>
    <x v="2"/>
  </r>
  <r>
    <s v="SCH00851"/>
    <d v="2026-07-28T00:00:00"/>
    <s v="Tuesday"/>
    <s v="Future"/>
    <x v="5"/>
    <s v="Day"/>
    <x v="84"/>
    <x v="84"/>
    <n v="12"/>
    <x v="41"/>
    <x v="2"/>
  </r>
  <r>
    <s v="SCH00852"/>
    <d v="2026-07-28T00:00:00"/>
    <s v="Tuesday"/>
    <s v="Future"/>
    <x v="5"/>
    <s v="Night"/>
    <x v="85"/>
    <x v="85"/>
    <n v="12"/>
    <x v="10"/>
    <x v="2"/>
  </r>
  <r>
    <s v="SCH00853"/>
    <d v="2026-07-28T00:00:00"/>
    <s v="Tuesday"/>
    <s v="Future"/>
    <x v="6"/>
    <s v="Day"/>
    <x v="84"/>
    <x v="84"/>
    <n v="12"/>
    <x v="35"/>
    <x v="2"/>
  </r>
  <r>
    <s v="SCH00854"/>
    <d v="2026-07-28T00:00:00"/>
    <s v="Tuesday"/>
    <s v="Future"/>
    <x v="6"/>
    <s v="Night"/>
    <x v="85"/>
    <x v="85"/>
    <n v="12"/>
    <x v="13"/>
    <x v="2"/>
  </r>
  <r>
    <s v="SCH00855"/>
    <d v="2026-07-28T00:00:00"/>
    <s v="Tuesday"/>
    <s v="Future"/>
    <x v="7"/>
    <s v="Day"/>
    <x v="84"/>
    <x v="84"/>
    <n v="12"/>
    <x v="15"/>
    <x v="2"/>
  </r>
  <r>
    <s v="SCH00856"/>
    <d v="2026-07-28T00:00:00"/>
    <s v="Tuesday"/>
    <s v="Future"/>
    <x v="7"/>
    <s v="Night"/>
    <x v="85"/>
    <x v="85"/>
    <n v="12"/>
    <x v="28"/>
    <x v="2"/>
  </r>
  <r>
    <s v="SCH00857"/>
    <d v="2026-07-28T00:00:00"/>
    <s v="Tuesday"/>
    <s v="Future"/>
    <x v="8"/>
    <s v="Day"/>
    <x v="84"/>
    <x v="84"/>
    <n v="12"/>
    <x v="17"/>
    <x v="2"/>
  </r>
  <r>
    <s v="SCH00858"/>
    <d v="2026-07-28T00:00:00"/>
    <s v="Tuesday"/>
    <s v="Future"/>
    <x v="8"/>
    <s v="Night"/>
    <x v="85"/>
    <x v="85"/>
    <n v="12"/>
    <x v="44"/>
    <x v="2"/>
  </r>
  <r>
    <s v="SCH00859"/>
    <d v="2026-07-28T00:00:00"/>
    <s v="Tuesday"/>
    <s v="Future"/>
    <x v="9"/>
    <s v="Day"/>
    <x v="84"/>
    <x v="84"/>
    <n v="12"/>
    <x v="18"/>
    <x v="2"/>
  </r>
  <r>
    <s v="SCH00860"/>
    <d v="2026-07-28T00:00:00"/>
    <s v="Tuesday"/>
    <s v="Future"/>
    <x v="9"/>
    <s v="Night"/>
    <x v="85"/>
    <x v="85"/>
    <n v="12"/>
    <x v="19"/>
    <x v="2"/>
  </r>
  <r>
    <s v="SCH00861"/>
    <d v="2026-07-29T00:00:00"/>
    <s v="Wednesday"/>
    <s v="Future"/>
    <x v="0"/>
    <s v="Day"/>
    <x v="86"/>
    <x v="86"/>
    <n v="12"/>
    <x v="1"/>
    <x v="2"/>
  </r>
  <r>
    <s v="SCH00862"/>
    <d v="2026-07-29T00:00:00"/>
    <s v="Wednesday"/>
    <s v="Future"/>
    <x v="0"/>
    <s v="Night"/>
    <x v="87"/>
    <x v="87"/>
    <n v="12"/>
    <x v="0"/>
    <x v="2"/>
  </r>
  <r>
    <s v="SCH00863"/>
    <d v="2026-07-29T00:00:00"/>
    <s v="Wednesday"/>
    <s v="Future"/>
    <x v="1"/>
    <s v="Day"/>
    <x v="86"/>
    <x v="86"/>
    <n v="12"/>
    <x v="2"/>
    <x v="2"/>
  </r>
  <r>
    <s v="SCH00864"/>
    <d v="2026-07-29T00:00:00"/>
    <s v="Wednesday"/>
    <s v="Future"/>
    <x v="1"/>
    <s v="Night"/>
    <x v="87"/>
    <x v="87"/>
    <n v="12"/>
    <x v="3"/>
    <x v="2"/>
  </r>
  <r>
    <s v="SCH00865"/>
    <d v="2026-07-29T00:00:00"/>
    <s v="Wednesday"/>
    <s v="Future"/>
    <x v="2"/>
    <s v="Day"/>
    <x v="86"/>
    <x v="86"/>
    <n v="12"/>
    <x v="5"/>
    <x v="2"/>
  </r>
  <r>
    <s v="SCH00866"/>
    <d v="2026-07-29T00:00:00"/>
    <s v="Wednesday"/>
    <s v="Future"/>
    <x v="2"/>
    <s v="Night"/>
    <x v="87"/>
    <x v="87"/>
    <n v="12"/>
    <x v="22"/>
    <x v="2"/>
  </r>
  <r>
    <s v="SCH00867"/>
    <d v="2026-07-29T00:00:00"/>
    <s v="Wednesday"/>
    <s v="Future"/>
    <x v="3"/>
    <s v="Day"/>
    <x v="86"/>
    <x v="86"/>
    <n v="12"/>
    <x v="23"/>
    <x v="2"/>
  </r>
  <r>
    <s v="SCH00868"/>
    <d v="2026-07-29T00:00:00"/>
    <s v="Wednesday"/>
    <s v="Future"/>
    <x v="3"/>
    <s v="Night"/>
    <x v="87"/>
    <x v="87"/>
    <n v="12"/>
    <x v="34"/>
    <x v="2"/>
  </r>
  <r>
    <s v="SCH00869"/>
    <d v="2026-07-29T00:00:00"/>
    <s v="Wednesday"/>
    <s v="Future"/>
    <x v="4"/>
    <s v="Day"/>
    <x v="86"/>
    <x v="86"/>
    <n v="12"/>
    <x v="24"/>
    <x v="2"/>
  </r>
  <r>
    <s v="SCH00870"/>
    <d v="2026-07-29T00:00:00"/>
    <s v="Wednesday"/>
    <s v="Future"/>
    <x v="4"/>
    <s v="Night"/>
    <x v="87"/>
    <x v="87"/>
    <n v="12"/>
    <x v="9"/>
    <x v="2"/>
  </r>
  <r>
    <s v="SCH00871"/>
    <d v="2026-07-29T00:00:00"/>
    <s v="Wednesday"/>
    <s v="Future"/>
    <x v="5"/>
    <s v="Day"/>
    <x v="86"/>
    <x v="86"/>
    <n v="12"/>
    <x v="11"/>
    <x v="2"/>
  </r>
  <r>
    <s v="SCH00872"/>
    <d v="2026-07-29T00:00:00"/>
    <s v="Wednesday"/>
    <s v="Future"/>
    <x v="5"/>
    <s v="Night"/>
    <x v="87"/>
    <x v="87"/>
    <n v="12"/>
    <x v="25"/>
    <x v="2"/>
  </r>
  <r>
    <s v="SCH00873"/>
    <d v="2026-07-29T00:00:00"/>
    <s v="Wednesday"/>
    <s v="Future"/>
    <x v="6"/>
    <s v="Day"/>
    <x v="86"/>
    <x v="86"/>
    <n v="12"/>
    <x v="12"/>
    <x v="2"/>
  </r>
  <r>
    <s v="SCH00874"/>
    <d v="2026-07-29T00:00:00"/>
    <s v="Wednesday"/>
    <s v="Future"/>
    <x v="6"/>
    <s v="Night"/>
    <x v="87"/>
    <x v="87"/>
    <n v="12"/>
    <x v="13"/>
    <x v="2"/>
  </r>
  <r>
    <s v="SCH00875"/>
    <d v="2026-07-29T00:00:00"/>
    <s v="Wednesday"/>
    <s v="Future"/>
    <x v="7"/>
    <s v="Day"/>
    <x v="86"/>
    <x v="86"/>
    <n v="12"/>
    <x v="14"/>
    <x v="2"/>
  </r>
  <r>
    <s v="SCH00876"/>
    <d v="2026-07-29T00:00:00"/>
    <s v="Wednesday"/>
    <s v="Future"/>
    <x v="7"/>
    <s v="Night"/>
    <x v="87"/>
    <x v="87"/>
    <n v="12"/>
    <x v="15"/>
    <x v="2"/>
  </r>
  <r>
    <s v="SCH00877"/>
    <d v="2026-07-29T00:00:00"/>
    <s v="Wednesday"/>
    <s v="Future"/>
    <x v="8"/>
    <s v="Day"/>
    <x v="86"/>
    <x v="86"/>
    <n v="12"/>
    <x v="30"/>
    <x v="2"/>
  </r>
  <r>
    <s v="SCH00878"/>
    <d v="2026-07-29T00:00:00"/>
    <s v="Wednesday"/>
    <s v="Future"/>
    <x v="8"/>
    <s v="Night"/>
    <x v="87"/>
    <x v="87"/>
    <n v="12"/>
    <x v="39"/>
    <x v="2"/>
  </r>
  <r>
    <s v="SCH00879"/>
    <d v="2026-07-29T00:00:00"/>
    <s v="Wednesday"/>
    <s v="Future"/>
    <x v="9"/>
    <s v="Day"/>
    <x v="86"/>
    <x v="86"/>
    <n v="12"/>
    <x v="32"/>
    <x v="2"/>
  </r>
  <r>
    <s v="SCH00880"/>
    <d v="2026-07-29T00:00:00"/>
    <s v="Wednesday"/>
    <s v="Future"/>
    <x v="9"/>
    <s v="Night"/>
    <x v="87"/>
    <x v="87"/>
    <n v="12"/>
    <x v="19"/>
    <x v="2"/>
  </r>
  <r>
    <s v="SCH00881"/>
    <d v="2026-07-30T00:00:00"/>
    <s v="Thursday"/>
    <s v="Future"/>
    <x v="0"/>
    <s v="Day"/>
    <x v="88"/>
    <x v="88"/>
    <n v="12"/>
    <x v="20"/>
    <x v="2"/>
  </r>
  <r>
    <s v="SCH00882"/>
    <d v="2026-07-30T00:00:00"/>
    <s v="Thursday"/>
    <s v="Future"/>
    <x v="0"/>
    <s v="Night"/>
    <x v="89"/>
    <x v="89"/>
    <n v="12"/>
    <x v="0"/>
    <x v="2"/>
  </r>
  <r>
    <s v="SCH00883"/>
    <d v="2026-07-30T00:00:00"/>
    <s v="Thursday"/>
    <s v="Future"/>
    <x v="1"/>
    <s v="Day"/>
    <x v="88"/>
    <x v="88"/>
    <n v="12"/>
    <x v="40"/>
    <x v="2"/>
  </r>
  <r>
    <s v="SCH00884"/>
    <d v="2026-07-30T00:00:00"/>
    <s v="Thursday"/>
    <s v="Future"/>
    <x v="1"/>
    <s v="Night"/>
    <x v="89"/>
    <x v="89"/>
    <n v="12"/>
    <x v="45"/>
    <x v="2"/>
  </r>
  <r>
    <s v="SCH00885"/>
    <d v="2026-07-30T00:00:00"/>
    <s v="Thursday"/>
    <s v="Future"/>
    <x v="2"/>
    <s v="Day"/>
    <x v="88"/>
    <x v="88"/>
    <n v="12"/>
    <x v="22"/>
    <x v="2"/>
  </r>
  <r>
    <s v="SCH00886"/>
    <d v="2026-07-30T00:00:00"/>
    <s v="Thursday"/>
    <s v="Future"/>
    <x v="2"/>
    <s v="Night"/>
    <x v="89"/>
    <x v="89"/>
    <n v="12"/>
    <x v="37"/>
    <x v="2"/>
  </r>
  <r>
    <s v="SCH00887"/>
    <d v="2026-07-30T00:00:00"/>
    <s v="Thursday"/>
    <s v="Future"/>
    <x v="3"/>
    <s v="Day"/>
    <x v="88"/>
    <x v="88"/>
    <n v="12"/>
    <x v="34"/>
    <x v="2"/>
  </r>
  <r>
    <s v="SCH00888"/>
    <d v="2026-07-30T00:00:00"/>
    <s v="Thursday"/>
    <s v="Future"/>
    <x v="3"/>
    <s v="Night"/>
    <x v="89"/>
    <x v="89"/>
    <n v="12"/>
    <x v="38"/>
    <x v="2"/>
  </r>
  <r>
    <s v="SCH00889"/>
    <d v="2026-07-30T00:00:00"/>
    <s v="Thursday"/>
    <s v="Future"/>
    <x v="4"/>
    <s v="Day"/>
    <x v="88"/>
    <x v="88"/>
    <n v="12"/>
    <x v="8"/>
    <x v="2"/>
  </r>
  <r>
    <s v="SCH00890"/>
    <d v="2026-07-30T00:00:00"/>
    <s v="Thursday"/>
    <s v="Future"/>
    <x v="4"/>
    <s v="Night"/>
    <x v="89"/>
    <x v="89"/>
    <n v="12"/>
    <x v="43"/>
    <x v="2"/>
  </r>
  <r>
    <s v="SCH00891"/>
    <d v="2026-07-30T00:00:00"/>
    <s v="Thursday"/>
    <s v="Future"/>
    <x v="5"/>
    <s v="Day"/>
    <x v="88"/>
    <x v="88"/>
    <n v="12"/>
    <x v="26"/>
    <x v="2"/>
  </r>
  <r>
    <s v="SCH00892"/>
    <d v="2026-07-30T00:00:00"/>
    <s v="Thursday"/>
    <s v="Future"/>
    <x v="5"/>
    <s v="Night"/>
    <x v="89"/>
    <x v="89"/>
    <n v="12"/>
    <x v="41"/>
    <x v="2"/>
  </r>
  <r>
    <s v="SCH00893"/>
    <d v="2026-07-30T00:00:00"/>
    <s v="Thursday"/>
    <s v="Future"/>
    <x v="6"/>
    <s v="Day"/>
    <x v="88"/>
    <x v="88"/>
    <n v="12"/>
    <x v="36"/>
    <x v="2"/>
  </r>
  <r>
    <s v="SCH00894"/>
    <d v="2026-07-30T00:00:00"/>
    <s v="Thursday"/>
    <s v="Future"/>
    <x v="6"/>
    <s v="Night"/>
    <x v="89"/>
    <x v="89"/>
    <n v="12"/>
    <x v="35"/>
    <x v="2"/>
  </r>
  <r>
    <s v="SCH00895"/>
    <d v="2026-07-30T00:00:00"/>
    <s v="Thursday"/>
    <s v="Future"/>
    <x v="7"/>
    <s v="Day"/>
    <x v="88"/>
    <x v="88"/>
    <n v="12"/>
    <x v="29"/>
    <x v="2"/>
  </r>
  <r>
    <s v="SCH00896"/>
    <d v="2026-07-30T00:00:00"/>
    <s v="Thursday"/>
    <s v="Future"/>
    <x v="7"/>
    <s v="Night"/>
    <x v="89"/>
    <x v="89"/>
    <n v="12"/>
    <x v="15"/>
    <x v="2"/>
  </r>
  <r>
    <s v="SCH00897"/>
    <d v="2026-07-30T00:00:00"/>
    <s v="Thursday"/>
    <s v="Future"/>
    <x v="8"/>
    <s v="Day"/>
    <x v="88"/>
    <x v="88"/>
    <n v="12"/>
    <x v="30"/>
    <x v="2"/>
  </r>
  <r>
    <s v="SCH00898"/>
    <d v="2026-07-30T00:00:00"/>
    <s v="Thursday"/>
    <s v="Future"/>
    <x v="8"/>
    <s v="Night"/>
    <x v="89"/>
    <x v="89"/>
    <n v="12"/>
    <x v="44"/>
    <x v="2"/>
  </r>
  <r>
    <s v="SCH00899"/>
    <d v="2026-07-30T00:00:00"/>
    <s v="Thursday"/>
    <s v="Future"/>
    <x v="9"/>
    <s v="Day"/>
    <x v="88"/>
    <x v="88"/>
    <n v="12"/>
    <x v="32"/>
    <x v="2"/>
  </r>
  <r>
    <s v="SCH00900"/>
    <d v="2026-07-30T00:00:00"/>
    <s v="Thursday"/>
    <s v="Future"/>
    <x v="9"/>
    <s v="Night"/>
    <x v="89"/>
    <x v="89"/>
    <n v="12"/>
    <x v="42"/>
    <x v="2"/>
  </r>
  <r>
    <s v="SCH00901"/>
    <d v="2026-07-31T00:00:00"/>
    <s v="Friday"/>
    <s v="Future"/>
    <x v="0"/>
    <s v="Day"/>
    <x v="90"/>
    <x v="90"/>
    <n v="12"/>
    <x v="1"/>
    <x v="2"/>
  </r>
  <r>
    <s v="SCH00902"/>
    <d v="2026-07-31T00:00:00"/>
    <s v="Friday"/>
    <s v="Future"/>
    <x v="0"/>
    <s v="Night"/>
    <x v="91"/>
    <x v="91"/>
    <n v="12"/>
    <x v="20"/>
    <x v="2"/>
  </r>
  <r>
    <s v="SCH00903"/>
    <d v="2026-07-31T00:00:00"/>
    <s v="Friday"/>
    <s v="Future"/>
    <x v="1"/>
    <s v="Day"/>
    <x v="90"/>
    <x v="90"/>
    <n v="12"/>
    <x v="45"/>
    <x v="2"/>
  </r>
  <r>
    <s v="SCH00904"/>
    <d v="2026-07-31T00:00:00"/>
    <s v="Friday"/>
    <s v="Future"/>
    <x v="1"/>
    <s v="Night"/>
    <x v="91"/>
    <x v="91"/>
    <n v="12"/>
    <x v="2"/>
    <x v="2"/>
  </r>
  <r>
    <s v="SCH00905"/>
    <d v="2026-07-31T00:00:00"/>
    <s v="Friday"/>
    <s v="Future"/>
    <x v="2"/>
    <s v="Day"/>
    <x v="90"/>
    <x v="90"/>
    <n v="12"/>
    <x v="4"/>
    <x v="2"/>
  </r>
  <r>
    <s v="SCH00906"/>
    <d v="2026-07-31T00:00:00"/>
    <s v="Friday"/>
    <s v="Future"/>
    <x v="2"/>
    <s v="Night"/>
    <x v="91"/>
    <x v="91"/>
    <n v="12"/>
    <x v="33"/>
    <x v="2"/>
  </r>
  <r>
    <s v="SCH00907"/>
    <d v="2026-07-31T00:00:00"/>
    <s v="Friday"/>
    <s v="Future"/>
    <x v="3"/>
    <s v="Day"/>
    <x v="90"/>
    <x v="90"/>
    <n v="12"/>
    <x v="38"/>
    <x v="2"/>
  </r>
  <r>
    <s v="SCH00908"/>
    <d v="2026-07-31T00:00:00"/>
    <s v="Friday"/>
    <s v="Future"/>
    <x v="3"/>
    <s v="Night"/>
    <x v="91"/>
    <x v="91"/>
    <n v="12"/>
    <x v="6"/>
    <x v="2"/>
  </r>
  <r>
    <s v="SCH00909"/>
    <d v="2026-07-31T00:00:00"/>
    <s v="Friday"/>
    <s v="Future"/>
    <x v="4"/>
    <s v="Day"/>
    <x v="90"/>
    <x v="90"/>
    <n v="12"/>
    <x v="43"/>
    <x v="2"/>
  </r>
  <r>
    <s v="SCH00910"/>
    <d v="2026-07-31T00:00:00"/>
    <s v="Friday"/>
    <s v="Future"/>
    <x v="4"/>
    <s v="Night"/>
    <x v="91"/>
    <x v="91"/>
    <n v="12"/>
    <x v="9"/>
    <x v="2"/>
  </r>
  <r>
    <s v="SCH00911"/>
    <d v="2026-07-31T00:00:00"/>
    <s v="Friday"/>
    <s v="Future"/>
    <x v="5"/>
    <s v="Day"/>
    <x v="90"/>
    <x v="90"/>
    <n v="12"/>
    <x v="26"/>
    <x v="2"/>
  </r>
  <r>
    <s v="SCH00912"/>
    <d v="2026-07-31T00:00:00"/>
    <s v="Friday"/>
    <s v="Future"/>
    <x v="5"/>
    <s v="Night"/>
    <x v="91"/>
    <x v="91"/>
    <n v="12"/>
    <x v="10"/>
    <x v="2"/>
  </r>
  <r>
    <s v="SCH00913"/>
    <d v="2026-07-31T00:00:00"/>
    <s v="Friday"/>
    <s v="Future"/>
    <x v="6"/>
    <s v="Day"/>
    <x v="90"/>
    <x v="90"/>
    <n v="12"/>
    <x v="35"/>
    <x v="2"/>
  </r>
  <r>
    <s v="SCH00914"/>
    <d v="2026-07-31T00:00:00"/>
    <s v="Friday"/>
    <s v="Future"/>
    <x v="6"/>
    <s v="Night"/>
    <x v="91"/>
    <x v="91"/>
    <n v="12"/>
    <x v="13"/>
    <x v="2"/>
  </r>
  <r>
    <s v="SCH00915"/>
    <d v="2026-07-31T00:00:00"/>
    <s v="Friday"/>
    <s v="Future"/>
    <x v="7"/>
    <s v="Day"/>
    <x v="90"/>
    <x v="90"/>
    <n v="12"/>
    <x v="28"/>
    <x v="2"/>
  </r>
  <r>
    <s v="SCH00916"/>
    <d v="2026-07-31T00:00:00"/>
    <s v="Friday"/>
    <s v="Future"/>
    <x v="7"/>
    <s v="Night"/>
    <x v="91"/>
    <x v="91"/>
    <n v="12"/>
    <x v="29"/>
    <x v="2"/>
  </r>
  <r>
    <s v="SCH00917"/>
    <d v="2026-07-31T00:00:00"/>
    <s v="Friday"/>
    <s v="Future"/>
    <x v="8"/>
    <s v="Day"/>
    <x v="90"/>
    <x v="90"/>
    <n v="12"/>
    <x v="17"/>
    <x v="2"/>
  </r>
  <r>
    <s v="SCH00918"/>
    <d v="2026-07-31T00:00:00"/>
    <s v="Friday"/>
    <s v="Future"/>
    <x v="8"/>
    <s v="Night"/>
    <x v="91"/>
    <x v="91"/>
    <n v="12"/>
    <x v="44"/>
    <x v="2"/>
  </r>
  <r>
    <s v="SCH00919"/>
    <d v="2026-07-31T00:00:00"/>
    <s v="Friday"/>
    <s v="Future"/>
    <x v="9"/>
    <s v="Day"/>
    <x v="90"/>
    <x v="90"/>
    <n v="12"/>
    <x v="42"/>
    <x v="2"/>
  </r>
  <r>
    <s v="SCH00920"/>
    <d v="2026-07-31T00:00:00"/>
    <s v="Friday"/>
    <s v="Future"/>
    <x v="9"/>
    <s v="Night"/>
    <x v="91"/>
    <x v="91"/>
    <n v="12"/>
    <x v="18"/>
    <x v="2"/>
  </r>
  <r>
    <s v="SCH00921"/>
    <d v="2026-08-01T00:00:00"/>
    <s v="Saturday"/>
    <s v="Future"/>
    <x v="0"/>
    <s v="Day"/>
    <x v="92"/>
    <x v="92"/>
    <n v="12"/>
    <x v="0"/>
    <x v="2"/>
  </r>
  <r>
    <s v="SCH00922"/>
    <d v="2026-08-01T00:00:00"/>
    <s v="Saturday"/>
    <s v="Future"/>
    <x v="0"/>
    <s v="Night"/>
    <x v="93"/>
    <x v="93"/>
    <n v="12"/>
    <x v="20"/>
    <x v="2"/>
  </r>
  <r>
    <s v="SCH00923"/>
    <d v="2026-08-01T00:00:00"/>
    <s v="Saturday"/>
    <s v="Future"/>
    <x v="1"/>
    <s v="Day"/>
    <x v="92"/>
    <x v="92"/>
    <n v="12"/>
    <x v="3"/>
    <x v="2"/>
  </r>
  <r>
    <s v="SCH00924"/>
    <d v="2026-08-01T00:00:00"/>
    <s v="Saturday"/>
    <s v="Future"/>
    <x v="1"/>
    <s v="Night"/>
    <x v="93"/>
    <x v="93"/>
    <n v="12"/>
    <x v="21"/>
    <x v="2"/>
  </r>
  <r>
    <s v="SCH00925"/>
    <d v="2026-08-01T00:00:00"/>
    <s v="Saturday"/>
    <s v="Future"/>
    <x v="2"/>
    <s v="Day"/>
    <x v="92"/>
    <x v="92"/>
    <n v="12"/>
    <x v="33"/>
    <x v="2"/>
  </r>
  <r>
    <s v="SCH00926"/>
    <d v="2026-08-01T00:00:00"/>
    <s v="Saturday"/>
    <s v="Future"/>
    <x v="2"/>
    <s v="Night"/>
    <x v="93"/>
    <x v="93"/>
    <n v="12"/>
    <x v="37"/>
    <x v="2"/>
  </r>
  <r>
    <s v="SCH00927"/>
    <d v="2026-08-01T00:00:00"/>
    <s v="Saturday"/>
    <s v="Future"/>
    <x v="3"/>
    <s v="Day"/>
    <x v="92"/>
    <x v="92"/>
    <n v="12"/>
    <x v="34"/>
    <x v="2"/>
  </r>
  <r>
    <s v="SCH00928"/>
    <d v="2026-08-01T00:00:00"/>
    <s v="Saturday"/>
    <s v="Future"/>
    <x v="3"/>
    <s v="Night"/>
    <x v="93"/>
    <x v="93"/>
    <n v="12"/>
    <x v="7"/>
    <x v="2"/>
  </r>
  <r>
    <s v="SCH00929"/>
    <d v="2026-08-01T00:00:00"/>
    <s v="Saturday"/>
    <s v="Future"/>
    <x v="4"/>
    <s v="Day"/>
    <x v="92"/>
    <x v="92"/>
    <n v="12"/>
    <x v="43"/>
    <x v="2"/>
  </r>
  <r>
    <s v="SCH00930"/>
    <d v="2026-08-01T00:00:00"/>
    <s v="Saturday"/>
    <s v="Future"/>
    <x v="4"/>
    <s v="Night"/>
    <x v="93"/>
    <x v="93"/>
    <n v="12"/>
    <x v="9"/>
    <x v="2"/>
  </r>
  <r>
    <s v="SCH00931"/>
    <d v="2026-08-01T00:00:00"/>
    <s v="Saturday"/>
    <s v="Future"/>
    <x v="5"/>
    <s v="Day"/>
    <x v="92"/>
    <x v="92"/>
    <n v="12"/>
    <x v="11"/>
    <x v="2"/>
  </r>
  <r>
    <s v="SCH00932"/>
    <d v="2026-08-01T00:00:00"/>
    <s v="Saturday"/>
    <s v="Future"/>
    <x v="5"/>
    <s v="Night"/>
    <x v="93"/>
    <x v="93"/>
    <n v="12"/>
    <x v="26"/>
    <x v="2"/>
  </r>
  <r>
    <s v="SCH00933"/>
    <d v="2026-08-01T00:00:00"/>
    <s v="Saturday"/>
    <s v="Future"/>
    <x v="6"/>
    <s v="Day"/>
    <x v="92"/>
    <x v="92"/>
    <n v="12"/>
    <x v="27"/>
    <x v="2"/>
  </r>
  <r>
    <s v="SCH00934"/>
    <d v="2026-08-01T00:00:00"/>
    <s v="Saturday"/>
    <s v="Future"/>
    <x v="6"/>
    <s v="Night"/>
    <x v="93"/>
    <x v="93"/>
    <n v="12"/>
    <x v="13"/>
    <x v="2"/>
  </r>
  <r>
    <s v="SCH00935"/>
    <d v="2026-08-01T00:00:00"/>
    <s v="Saturday"/>
    <s v="Future"/>
    <x v="7"/>
    <s v="Day"/>
    <x v="92"/>
    <x v="92"/>
    <n v="12"/>
    <x v="14"/>
    <x v="2"/>
  </r>
  <r>
    <s v="SCH00936"/>
    <d v="2026-08-01T00:00:00"/>
    <s v="Saturday"/>
    <s v="Future"/>
    <x v="7"/>
    <s v="Night"/>
    <x v="93"/>
    <x v="93"/>
    <n v="12"/>
    <x v="28"/>
    <x v="2"/>
  </r>
  <r>
    <s v="SCH00937"/>
    <d v="2026-08-01T00:00:00"/>
    <s v="Saturday"/>
    <s v="Future"/>
    <x v="8"/>
    <s v="Day"/>
    <x v="92"/>
    <x v="92"/>
    <n v="12"/>
    <x v="16"/>
    <x v="2"/>
  </r>
  <r>
    <s v="SCH00938"/>
    <d v="2026-08-01T00:00:00"/>
    <s v="Saturday"/>
    <s v="Future"/>
    <x v="8"/>
    <s v="Night"/>
    <x v="93"/>
    <x v="93"/>
    <n v="12"/>
    <x v="30"/>
    <x v="2"/>
  </r>
  <r>
    <s v="SCH00939"/>
    <d v="2026-08-01T00:00:00"/>
    <s v="Saturday"/>
    <s v="Future"/>
    <x v="9"/>
    <s v="Day"/>
    <x v="92"/>
    <x v="92"/>
    <n v="12"/>
    <x v="42"/>
    <x v="2"/>
  </r>
  <r>
    <s v="SCH00940"/>
    <d v="2026-08-01T00:00:00"/>
    <s v="Saturday"/>
    <s v="Future"/>
    <x v="9"/>
    <s v="Night"/>
    <x v="93"/>
    <x v="93"/>
    <n v="12"/>
    <x v="32"/>
    <x v="2"/>
  </r>
  <r>
    <s v="SCH00941"/>
    <d v="2026-08-02T00:00:00"/>
    <s v="Sunday"/>
    <s v="Future"/>
    <x v="0"/>
    <s v="Day"/>
    <x v="94"/>
    <x v="94"/>
    <n v="12"/>
    <x v="0"/>
    <x v="2"/>
  </r>
  <r>
    <s v="SCH00942"/>
    <d v="2026-08-02T00:00:00"/>
    <s v="Sunday"/>
    <s v="Future"/>
    <x v="0"/>
    <s v="Night"/>
    <x v="95"/>
    <x v="95"/>
    <n v="12"/>
    <x v="20"/>
    <x v="2"/>
  </r>
  <r>
    <s v="SCH00943"/>
    <d v="2026-08-02T00:00:00"/>
    <s v="Sunday"/>
    <s v="Future"/>
    <x v="1"/>
    <s v="Day"/>
    <x v="94"/>
    <x v="94"/>
    <n v="12"/>
    <x v="45"/>
    <x v="2"/>
  </r>
  <r>
    <s v="SCH00944"/>
    <d v="2026-08-02T00:00:00"/>
    <s v="Sunday"/>
    <s v="Future"/>
    <x v="1"/>
    <s v="Night"/>
    <x v="95"/>
    <x v="95"/>
    <n v="12"/>
    <x v="2"/>
    <x v="2"/>
  </r>
  <r>
    <s v="SCH00945"/>
    <d v="2026-08-02T00:00:00"/>
    <s v="Sunday"/>
    <s v="Future"/>
    <x v="2"/>
    <s v="Day"/>
    <x v="94"/>
    <x v="94"/>
    <n v="12"/>
    <x v="5"/>
    <x v="2"/>
  </r>
  <r>
    <s v="SCH00946"/>
    <d v="2026-08-02T00:00:00"/>
    <s v="Sunday"/>
    <s v="Future"/>
    <x v="2"/>
    <s v="Night"/>
    <x v="95"/>
    <x v="95"/>
    <n v="12"/>
    <x v="4"/>
    <x v="2"/>
  </r>
  <r>
    <s v="SCH00947"/>
    <d v="2026-08-02T00:00:00"/>
    <s v="Sunday"/>
    <s v="Future"/>
    <x v="3"/>
    <s v="Day"/>
    <x v="94"/>
    <x v="94"/>
    <n v="12"/>
    <x v="6"/>
    <x v="2"/>
  </r>
  <r>
    <s v="SCH00948"/>
    <d v="2026-08-02T00:00:00"/>
    <s v="Sunday"/>
    <s v="Future"/>
    <x v="3"/>
    <s v="Night"/>
    <x v="95"/>
    <x v="95"/>
    <n v="12"/>
    <x v="23"/>
    <x v="2"/>
  </r>
  <r>
    <s v="SCH00949"/>
    <d v="2026-08-02T00:00:00"/>
    <s v="Sunday"/>
    <s v="Future"/>
    <x v="4"/>
    <s v="Day"/>
    <x v="94"/>
    <x v="94"/>
    <n v="12"/>
    <x v="8"/>
    <x v="2"/>
  </r>
  <r>
    <s v="SCH00950"/>
    <d v="2026-08-02T00:00:00"/>
    <s v="Sunday"/>
    <s v="Future"/>
    <x v="4"/>
    <s v="Night"/>
    <x v="95"/>
    <x v="95"/>
    <n v="12"/>
    <x v="24"/>
    <x v="2"/>
  </r>
  <r>
    <s v="SCH00951"/>
    <d v="2026-08-02T00:00:00"/>
    <s v="Sunday"/>
    <s v="Future"/>
    <x v="5"/>
    <s v="Day"/>
    <x v="94"/>
    <x v="94"/>
    <n v="12"/>
    <x v="10"/>
    <x v="2"/>
  </r>
  <r>
    <s v="SCH00952"/>
    <d v="2026-08-02T00:00:00"/>
    <s v="Sunday"/>
    <s v="Future"/>
    <x v="5"/>
    <s v="Night"/>
    <x v="95"/>
    <x v="95"/>
    <n v="12"/>
    <x v="25"/>
    <x v="2"/>
  </r>
  <r>
    <s v="SCH00953"/>
    <d v="2026-08-02T00:00:00"/>
    <s v="Sunday"/>
    <s v="Future"/>
    <x v="6"/>
    <s v="Day"/>
    <x v="94"/>
    <x v="94"/>
    <n v="12"/>
    <x v="12"/>
    <x v="2"/>
  </r>
  <r>
    <s v="SCH00954"/>
    <d v="2026-08-02T00:00:00"/>
    <s v="Sunday"/>
    <s v="Future"/>
    <x v="6"/>
    <s v="Night"/>
    <x v="95"/>
    <x v="95"/>
    <n v="12"/>
    <x v="27"/>
    <x v="2"/>
  </r>
  <r>
    <s v="SCH00955"/>
    <d v="2026-08-02T00:00:00"/>
    <s v="Sunday"/>
    <s v="Future"/>
    <x v="7"/>
    <s v="Day"/>
    <x v="94"/>
    <x v="94"/>
    <n v="12"/>
    <x v="15"/>
    <x v="2"/>
  </r>
  <r>
    <s v="SCH00956"/>
    <d v="2026-08-02T00:00:00"/>
    <s v="Sunday"/>
    <s v="Future"/>
    <x v="7"/>
    <s v="Night"/>
    <x v="95"/>
    <x v="95"/>
    <n v="12"/>
    <x v="28"/>
    <x v="2"/>
  </r>
  <r>
    <s v="SCH00957"/>
    <d v="2026-08-02T00:00:00"/>
    <s v="Sunday"/>
    <s v="Future"/>
    <x v="8"/>
    <s v="Day"/>
    <x v="94"/>
    <x v="94"/>
    <n v="12"/>
    <x v="39"/>
    <x v="2"/>
  </r>
  <r>
    <s v="SCH00958"/>
    <d v="2026-08-02T00:00:00"/>
    <s v="Sunday"/>
    <s v="Future"/>
    <x v="8"/>
    <s v="Night"/>
    <x v="95"/>
    <x v="95"/>
    <n v="12"/>
    <x v="17"/>
    <x v="2"/>
  </r>
  <r>
    <s v="SCH00959"/>
    <d v="2026-08-02T00:00:00"/>
    <s v="Sunday"/>
    <s v="Future"/>
    <x v="9"/>
    <s v="Day"/>
    <x v="94"/>
    <x v="94"/>
    <n v="12"/>
    <x v="42"/>
    <x v="2"/>
  </r>
  <r>
    <s v="SCH00960"/>
    <d v="2026-08-02T00:00:00"/>
    <s v="Sunday"/>
    <s v="Future"/>
    <x v="9"/>
    <s v="Night"/>
    <x v="95"/>
    <x v="95"/>
    <n v="12"/>
    <x v="32"/>
    <x v="2"/>
  </r>
  <r>
    <s v="SCH00961"/>
    <d v="2026-08-03T00:00:00"/>
    <s v="Monday"/>
    <s v="Future"/>
    <x v="0"/>
    <s v="Day"/>
    <x v="96"/>
    <x v="96"/>
    <n v="12"/>
    <x v="20"/>
    <x v="2"/>
  </r>
  <r>
    <s v="SCH00962"/>
    <d v="2026-08-03T00:00:00"/>
    <s v="Monday"/>
    <s v="Future"/>
    <x v="0"/>
    <s v="Night"/>
    <x v="97"/>
    <x v="97"/>
    <n v="12"/>
    <x v="0"/>
    <x v="2"/>
  </r>
  <r>
    <s v="SCH00963"/>
    <d v="2026-08-03T00:00:00"/>
    <s v="Monday"/>
    <s v="Future"/>
    <x v="1"/>
    <s v="Day"/>
    <x v="96"/>
    <x v="96"/>
    <n v="12"/>
    <x v="3"/>
    <x v="2"/>
  </r>
  <r>
    <s v="SCH00964"/>
    <d v="2026-08-03T00:00:00"/>
    <s v="Monday"/>
    <s v="Future"/>
    <x v="1"/>
    <s v="Night"/>
    <x v="97"/>
    <x v="97"/>
    <n v="12"/>
    <x v="45"/>
    <x v="2"/>
  </r>
  <r>
    <s v="SCH00965"/>
    <d v="2026-08-03T00:00:00"/>
    <s v="Monday"/>
    <s v="Future"/>
    <x v="2"/>
    <s v="Day"/>
    <x v="96"/>
    <x v="96"/>
    <n v="12"/>
    <x v="4"/>
    <x v="2"/>
  </r>
  <r>
    <s v="SCH00966"/>
    <d v="2026-08-03T00:00:00"/>
    <s v="Monday"/>
    <s v="Future"/>
    <x v="2"/>
    <s v="Night"/>
    <x v="97"/>
    <x v="97"/>
    <n v="12"/>
    <x v="5"/>
    <x v="2"/>
  </r>
  <r>
    <s v="SCH00967"/>
    <d v="2026-08-03T00:00:00"/>
    <s v="Monday"/>
    <s v="Future"/>
    <x v="3"/>
    <s v="Day"/>
    <x v="96"/>
    <x v="96"/>
    <n v="12"/>
    <x v="23"/>
    <x v="2"/>
  </r>
  <r>
    <s v="SCH00968"/>
    <d v="2026-08-03T00:00:00"/>
    <s v="Monday"/>
    <s v="Future"/>
    <x v="3"/>
    <s v="Night"/>
    <x v="97"/>
    <x v="97"/>
    <n v="12"/>
    <x v="34"/>
    <x v="2"/>
  </r>
  <r>
    <s v="SCH00969"/>
    <d v="2026-08-03T00:00:00"/>
    <s v="Monday"/>
    <s v="Future"/>
    <x v="4"/>
    <s v="Day"/>
    <x v="96"/>
    <x v="96"/>
    <n v="12"/>
    <x v="8"/>
    <x v="2"/>
  </r>
  <r>
    <s v="SCH00970"/>
    <d v="2026-08-03T00:00:00"/>
    <s v="Monday"/>
    <s v="Future"/>
    <x v="4"/>
    <s v="Night"/>
    <x v="97"/>
    <x v="97"/>
    <n v="12"/>
    <x v="43"/>
    <x v="2"/>
  </r>
  <r>
    <s v="SCH00971"/>
    <d v="2026-08-03T00:00:00"/>
    <s v="Monday"/>
    <s v="Future"/>
    <x v="5"/>
    <s v="Day"/>
    <x v="96"/>
    <x v="96"/>
    <n v="12"/>
    <x v="25"/>
    <x v="2"/>
  </r>
  <r>
    <s v="SCH00972"/>
    <d v="2026-08-03T00:00:00"/>
    <s v="Monday"/>
    <s v="Future"/>
    <x v="5"/>
    <s v="Night"/>
    <x v="97"/>
    <x v="97"/>
    <n v="12"/>
    <x v="10"/>
    <x v="2"/>
  </r>
  <r>
    <s v="SCH00973"/>
    <d v="2026-08-03T00:00:00"/>
    <s v="Monday"/>
    <s v="Future"/>
    <x v="6"/>
    <s v="Day"/>
    <x v="96"/>
    <x v="96"/>
    <n v="12"/>
    <x v="12"/>
    <x v="2"/>
  </r>
  <r>
    <s v="SCH00974"/>
    <d v="2026-08-03T00:00:00"/>
    <s v="Monday"/>
    <s v="Future"/>
    <x v="6"/>
    <s v="Night"/>
    <x v="97"/>
    <x v="97"/>
    <n v="12"/>
    <x v="35"/>
    <x v="2"/>
  </r>
  <r>
    <s v="SCH00975"/>
    <d v="2026-08-03T00:00:00"/>
    <s v="Monday"/>
    <s v="Future"/>
    <x v="7"/>
    <s v="Day"/>
    <x v="96"/>
    <x v="96"/>
    <n v="12"/>
    <x v="14"/>
    <x v="2"/>
  </r>
  <r>
    <s v="SCH00976"/>
    <d v="2026-08-03T00:00:00"/>
    <s v="Monday"/>
    <s v="Future"/>
    <x v="7"/>
    <s v="Night"/>
    <x v="97"/>
    <x v="97"/>
    <n v="12"/>
    <x v="15"/>
    <x v="2"/>
  </r>
  <r>
    <s v="SCH00977"/>
    <d v="2026-08-03T00:00:00"/>
    <s v="Monday"/>
    <s v="Future"/>
    <x v="8"/>
    <s v="Day"/>
    <x v="96"/>
    <x v="96"/>
    <n v="12"/>
    <x v="16"/>
    <x v="2"/>
  </r>
  <r>
    <s v="SCH00978"/>
    <d v="2026-08-03T00:00:00"/>
    <s v="Monday"/>
    <s v="Future"/>
    <x v="8"/>
    <s v="Night"/>
    <x v="97"/>
    <x v="97"/>
    <n v="12"/>
    <x v="30"/>
    <x v="2"/>
  </r>
  <r>
    <s v="SCH00979"/>
    <d v="2026-08-03T00:00:00"/>
    <s v="Monday"/>
    <s v="Future"/>
    <x v="9"/>
    <s v="Day"/>
    <x v="96"/>
    <x v="96"/>
    <n v="12"/>
    <x v="42"/>
    <x v="2"/>
  </r>
  <r>
    <s v="SCH00980"/>
    <d v="2026-08-03T00:00:00"/>
    <s v="Monday"/>
    <s v="Future"/>
    <x v="9"/>
    <s v="Night"/>
    <x v="97"/>
    <x v="97"/>
    <n v="12"/>
    <x v="32"/>
    <x v="2"/>
  </r>
  <r>
    <s v="SCH00981"/>
    <d v="2026-08-04T00:00:00"/>
    <s v="Tuesday"/>
    <s v="Future"/>
    <x v="0"/>
    <s v="Day"/>
    <x v="98"/>
    <x v="98"/>
    <n v="12"/>
    <x v="1"/>
    <x v="2"/>
  </r>
  <r>
    <s v="SCH00982"/>
    <d v="2026-08-04T00:00:00"/>
    <s v="Tuesday"/>
    <s v="Future"/>
    <x v="0"/>
    <s v="Night"/>
    <x v="99"/>
    <x v="99"/>
    <n v="12"/>
    <x v="0"/>
    <x v="2"/>
  </r>
  <r>
    <s v="SCH00983"/>
    <d v="2026-08-04T00:00:00"/>
    <s v="Tuesday"/>
    <s v="Future"/>
    <x v="1"/>
    <s v="Day"/>
    <x v="98"/>
    <x v="98"/>
    <n v="12"/>
    <x v="45"/>
    <x v="2"/>
  </r>
  <r>
    <s v="SCH00984"/>
    <d v="2026-08-04T00:00:00"/>
    <s v="Tuesday"/>
    <s v="Future"/>
    <x v="1"/>
    <s v="Night"/>
    <x v="99"/>
    <x v="99"/>
    <n v="12"/>
    <x v="3"/>
    <x v="2"/>
  </r>
  <r>
    <s v="SCH00985"/>
    <d v="2026-08-04T00:00:00"/>
    <s v="Tuesday"/>
    <s v="Future"/>
    <x v="2"/>
    <s v="Day"/>
    <x v="98"/>
    <x v="98"/>
    <n v="12"/>
    <x v="37"/>
    <x v="2"/>
  </r>
  <r>
    <s v="SCH00986"/>
    <d v="2026-08-04T00:00:00"/>
    <s v="Tuesday"/>
    <s v="Future"/>
    <x v="2"/>
    <s v="Night"/>
    <x v="99"/>
    <x v="99"/>
    <n v="12"/>
    <x v="4"/>
    <x v="2"/>
  </r>
  <r>
    <s v="SCH00987"/>
    <d v="2026-08-04T00:00:00"/>
    <s v="Tuesday"/>
    <s v="Future"/>
    <x v="3"/>
    <s v="Day"/>
    <x v="98"/>
    <x v="98"/>
    <n v="12"/>
    <x v="6"/>
    <x v="2"/>
  </r>
  <r>
    <s v="SCH00988"/>
    <d v="2026-08-04T00:00:00"/>
    <s v="Tuesday"/>
    <s v="Future"/>
    <x v="3"/>
    <s v="Night"/>
    <x v="99"/>
    <x v="99"/>
    <n v="12"/>
    <x v="34"/>
    <x v="2"/>
  </r>
  <r>
    <s v="SCH00989"/>
    <d v="2026-08-04T00:00:00"/>
    <s v="Tuesday"/>
    <s v="Future"/>
    <x v="4"/>
    <s v="Day"/>
    <x v="98"/>
    <x v="98"/>
    <n v="12"/>
    <x v="8"/>
    <x v="2"/>
  </r>
  <r>
    <s v="SCH00990"/>
    <d v="2026-08-04T00:00:00"/>
    <s v="Tuesday"/>
    <s v="Future"/>
    <x v="4"/>
    <s v="Night"/>
    <x v="99"/>
    <x v="99"/>
    <n v="12"/>
    <x v="9"/>
    <x v="2"/>
  </r>
  <r>
    <s v="SCH00991"/>
    <d v="2026-08-04T00:00:00"/>
    <s v="Tuesday"/>
    <s v="Future"/>
    <x v="5"/>
    <s v="Day"/>
    <x v="98"/>
    <x v="98"/>
    <n v="12"/>
    <x v="11"/>
    <x v="2"/>
  </r>
  <r>
    <s v="SCH00992"/>
    <d v="2026-08-04T00:00:00"/>
    <s v="Tuesday"/>
    <s v="Future"/>
    <x v="5"/>
    <s v="Night"/>
    <x v="99"/>
    <x v="99"/>
    <n v="12"/>
    <x v="10"/>
    <x v="2"/>
  </r>
  <r>
    <s v="SCH00993"/>
    <d v="2026-08-04T00:00:00"/>
    <s v="Tuesday"/>
    <s v="Future"/>
    <x v="6"/>
    <s v="Day"/>
    <x v="98"/>
    <x v="98"/>
    <n v="12"/>
    <x v="27"/>
    <x v="2"/>
  </r>
  <r>
    <s v="SCH00994"/>
    <d v="2026-08-04T00:00:00"/>
    <s v="Tuesday"/>
    <s v="Future"/>
    <x v="6"/>
    <s v="Night"/>
    <x v="99"/>
    <x v="99"/>
    <n v="12"/>
    <x v="12"/>
    <x v="2"/>
  </r>
  <r>
    <s v="SCH00995"/>
    <d v="2026-08-04T00:00:00"/>
    <s v="Tuesday"/>
    <s v="Future"/>
    <x v="7"/>
    <s v="Day"/>
    <x v="98"/>
    <x v="98"/>
    <n v="12"/>
    <x v="15"/>
    <x v="2"/>
  </r>
  <r>
    <s v="SCH00996"/>
    <d v="2026-08-04T00:00:00"/>
    <s v="Tuesday"/>
    <s v="Future"/>
    <x v="7"/>
    <s v="Night"/>
    <x v="99"/>
    <x v="99"/>
    <n v="12"/>
    <x v="28"/>
    <x v="2"/>
  </r>
  <r>
    <s v="SCH00997"/>
    <d v="2026-08-04T00:00:00"/>
    <s v="Tuesday"/>
    <s v="Future"/>
    <x v="8"/>
    <s v="Day"/>
    <x v="98"/>
    <x v="98"/>
    <n v="12"/>
    <x v="30"/>
    <x v="2"/>
  </r>
  <r>
    <s v="SCH00998"/>
    <d v="2026-08-04T00:00:00"/>
    <s v="Tuesday"/>
    <s v="Future"/>
    <x v="8"/>
    <s v="Night"/>
    <x v="99"/>
    <x v="99"/>
    <n v="12"/>
    <x v="44"/>
    <x v="2"/>
  </r>
  <r>
    <s v="SCH00999"/>
    <d v="2026-08-04T00:00:00"/>
    <s v="Tuesday"/>
    <s v="Future"/>
    <x v="9"/>
    <s v="Day"/>
    <x v="98"/>
    <x v="98"/>
    <n v="12"/>
    <x v="19"/>
    <x v="2"/>
  </r>
  <r>
    <s v="SCH01000"/>
    <d v="2026-08-04T00:00:00"/>
    <s v="Tuesday"/>
    <s v="Future"/>
    <x v="9"/>
    <s v="Night"/>
    <x v="99"/>
    <x v="99"/>
    <n v="12"/>
    <x v="32"/>
    <x v="2"/>
  </r>
  <r>
    <s v="SCH01001"/>
    <d v="2026-08-05T00:00:00"/>
    <s v="Wednesday"/>
    <s v="Future"/>
    <x v="0"/>
    <s v="Day"/>
    <x v="100"/>
    <x v="100"/>
    <n v="12"/>
    <x v="1"/>
    <x v="2"/>
  </r>
  <r>
    <s v="SCH01002"/>
    <d v="2026-08-05T00:00:00"/>
    <s v="Wednesday"/>
    <s v="Future"/>
    <x v="0"/>
    <s v="Night"/>
    <x v="101"/>
    <x v="101"/>
    <n v="12"/>
    <x v="20"/>
    <x v="2"/>
  </r>
  <r>
    <s v="SCH01003"/>
    <d v="2026-08-05T00:00:00"/>
    <s v="Wednesday"/>
    <s v="Future"/>
    <x v="1"/>
    <s v="Day"/>
    <x v="100"/>
    <x v="100"/>
    <n v="12"/>
    <x v="40"/>
    <x v="2"/>
  </r>
  <r>
    <s v="SCH01004"/>
    <d v="2026-08-05T00:00:00"/>
    <s v="Wednesday"/>
    <s v="Future"/>
    <x v="1"/>
    <s v="Night"/>
    <x v="101"/>
    <x v="101"/>
    <n v="12"/>
    <x v="21"/>
    <x v="2"/>
  </r>
  <r>
    <s v="SCH01005"/>
    <d v="2026-08-05T00:00:00"/>
    <s v="Wednesday"/>
    <s v="Future"/>
    <x v="2"/>
    <s v="Day"/>
    <x v="100"/>
    <x v="100"/>
    <n v="12"/>
    <x v="37"/>
    <x v="2"/>
  </r>
  <r>
    <s v="SCH01006"/>
    <d v="2026-08-05T00:00:00"/>
    <s v="Wednesday"/>
    <s v="Future"/>
    <x v="2"/>
    <s v="Night"/>
    <x v="101"/>
    <x v="101"/>
    <n v="12"/>
    <x v="4"/>
    <x v="2"/>
  </r>
  <r>
    <s v="SCH01007"/>
    <d v="2026-08-05T00:00:00"/>
    <s v="Wednesday"/>
    <s v="Future"/>
    <x v="3"/>
    <s v="Day"/>
    <x v="100"/>
    <x v="100"/>
    <n v="12"/>
    <x v="34"/>
    <x v="2"/>
  </r>
  <r>
    <s v="SCH01008"/>
    <d v="2026-08-05T00:00:00"/>
    <s v="Wednesday"/>
    <s v="Future"/>
    <x v="3"/>
    <s v="Night"/>
    <x v="101"/>
    <x v="101"/>
    <n v="12"/>
    <x v="38"/>
    <x v="2"/>
  </r>
  <r>
    <s v="SCH01009"/>
    <d v="2026-08-05T00:00:00"/>
    <s v="Wednesday"/>
    <s v="Future"/>
    <x v="4"/>
    <s v="Day"/>
    <x v="100"/>
    <x v="100"/>
    <n v="12"/>
    <x v="9"/>
    <x v="2"/>
  </r>
  <r>
    <s v="SCH01010"/>
    <d v="2026-08-05T00:00:00"/>
    <s v="Wednesday"/>
    <s v="Future"/>
    <x v="4"/>
    <s v="Night"/>
    <x v="101"/>
    <x v="101"/>
    <n v="12"/>
    <x v="24"/>
    <x v="2"/>
  </r>
  <r>
    <s v="SCH01011"/>
    <d v="2026-08-05T00:00:00"/>
    <s v="Wednesday"/>
    <s v="Future"/>
    <x v="5"/>
    <s v="Day"/>
    <x v="100"/>
    <x v="100"/>
    <n v="12"/>
    <x v="41"/>
    <x v="2"/>
  </r>
  <r>
    <s v="SCH01012"/>
    <d v="2026-08-05T00:00:00"/>
    <s v="Wednesday"/>
    <s v="Future"/>
    <x v="5"/>
    <s v="Night"/>
    <x v="101"/>
    <x v="101"/>
    <n v="12"/>
    <x v="10"/>
    <x v="2"/>
  </r>
  <r>
    <s v="SCH01013"/>
    <d v="2026-08-05T00:00:00"/>
    <s v="Wednesday"/>
    <s v="Future"/>
    <x v="6"/>
    <s v="Day"/>
    <x v="100"/>
    <x v="100"/>
    <n v="12"/>
    <x v="12"/>
    <x v="2"/>
  </r>
  <r>
    <s v="SCH01014"/>
    <d v="2026-08-05T00:00:00"/>
    <s v="Wednesday"/>
    <s v="Future"/>
    <x v="6"/>
    <s v="Night"/>
    <x v="101"/>
    <x v="101"/>
    <n v="12"/>
    <x v="27"/>
    <x v="2"/>
  </r>
  <r>
    <s v="SCH01015"/>
    <d v="2026-08-05T00:00:00"/>
    <s v="Wednesday"/>
    <s v="Future"/>
    <x v="7"/>
    <s v="Day"/>
    <x v="100"/>
    <x v="100"/>
    <n v="12"/>
    <x v="15"/>
    <x v="2"/>
  </r>
  <r>
    <s v="SCH01016"/>
    <d v="2026-08-05T00:00:00"/>
    <s v="Wednesday"/>
    <s v="Future"/>
    <x v="7"/>
    <s v="Night"/>
    <x v="101"/>
    <x v="101"/>
    <n v="12"/>
    <x v="29"/>
    <x v="2"/>
  </r>
  <r>
    <s v="SCH01017"/>
    <d v="2026-08-05T00:00:00"/>
    <s v="Wednesday"/>
    <s v="Future"/>
    <x v="8"/>
    <s v="Day"/>
    <x v="100"/>
    <x v="100"/>
    <n v="12"/>
    <x v="17"/>
    <x v="2"/>
  </r>
  <r>
    <s v="SCH01018"/>
    <d v="2026-08-05T00:00:00"/>
    <s v="Wednesday"/>
    <s v="Future"/>
    <x v="8"/>
    <s v="Night"/>
    <x v="101"/>
    <x v="101"/>
    <n v="12"/>
    <x v="16"/>
    <x v="2"/>
  </r>
  <r>
    <s v="SCH01019"/>
    <d v="2026-08-05T00:00:00"/>
    <s v="Wednesday"/>
    <s v="Future"/>
    <x v="9"/>
    <s v="Day"/>
    <x v="100"/>
    <x v="100"/>
    <n v="12"/>
    <x v="18"/>
    <x v="2"/>
  </r>
  <r>
    <s v="SCH01020"/>
    <d v="2026-08-05T00:00:00"/>
    <s v="Wednesday"/>
    <s v="Future"/>
    <x v="9"/>
    <s v="Night"/>
    <x v="101"/>
    <x v="101"/>
    <n v="12"/>
    <x v="19"/>
    <x v="2"/>
  </r>
  <r>
    <s v="SCH01021"/>
    <d v="2026-08-06T00:00:00"/>
    <s v="Thursday"/>
    <s v="Future"/>
    <x v="0"/>
    <s v="Day"/>
    <x v="102"/>
    <x v="102"/>
    <n v="12"/>
    <x v="0"/>
    <x v="2"/>
  </r>
  <r>
    <s v="SCH01022"/>
    <d v="2026-08-06T00:00:00"/>
    <s v="Thursday"/>
    <s v="Future"/>
    <x v="0"/>
    <s v="Night"/>
    <x v="103"/>
    <x v="103"/>
    <n v="12"/>
    <x v="1"/>
    <x v="2"/>
  </r>
  <r>
    <s v="SCH01023"/>
    <d v="2026-08-06T00:00:00"/>
    <s v="Thursday"/>
    <s v="Future"/>
    <x v="1"/>
    <s v="Day"/>
    <x v="102"/>
    <x v="102"/>
    <n v="12"/>
    <x v="45"/>
    <x v="2"/>
  </r>
  <r>
    <s v="SCH01024"/>
    <d v="2026-08-06T00:00:00"/>
    <s v="Thursday"/>
    <s v="Future"/>
    <x v="1"/>
    <s v="Night"/>
    <x v="103"/>
    <x v="103"/>
    <n v="12"/>
    <x v="40"/>
    <x v="2"/>
  </r>
  <r>
    <s v="SCH01025"/>
    <d v="2026-08-06T00:00:00"/>
    <s v="Thursday"/>
    <s v="Future"/>
    <x v="2"/>
    <s v="Day"/>
    <x v="102"/>
    <x v="102"/>
    <n v="12"/>
    <x v="22"/>
    <x v="2"/>
  </r>
  <r>
    <s v="SCH01026"/>
    <d v="2026-08-06T00:00:00"/>
    <s v="Thursday"/>
    <s v="Future"/>
    <x v="2"/>
    <s v="Night"/>
    <x v="103"/>
    <x v="103"/>
    <n v="12"/>
    <x v="5"/>
    <x v="2"/>
  </r>
  <r>
    <s v="SCH01027"/>
    <d v="2026-08-06T00:00:00"/>
    <s v="Thursday"/>
    <s v="Future"/>
    <x v="3"/>
    <s v="Day"/>
    <x v="102"/>
    <x v="102"/>
    <n v="12"/>
    <x v="6"/>
    <x v="2"/>
  </r>
  <r>
    <s v="SCH01028"/>
    <d v="2026-08-06T00:00:00"/>
    <s v="Thursday"/>
    <s v="Future"/>
    <x v="3"/>
    <s v="Night"/>
    <x v="103"/>
    <x v="103"/>
    <n v="12"/>
    <x v="34"/>
    <x v="2"/>
  </r>
  <r>
    <s v="SCH01029"/>
    <d v="2026-08-06T00:00:00"/>
    <s v="Thursday"/>
    <s v="Future"/>
    <x v="4"/>
    <s v="Day"/>
    <x v="102"/>
    <x v="102"/>
    <n v="12"/>
    <x v="43"/>
    <x v="2"/>
  </r>
  <r>
    <s v="SCH01030"/>
    <d v="2026-08-06T00:00:00"/>
    <s v="Thursday"/>
    <s v="Future"/>
    <x v="4"/>
    <s v="Night"/>
    <x v="103"/>
    <x v="103"/>
    <n v="12"/>
    <x v="9"/>
    <x v="2"/>
  </r>
  <r>
    <s v="SCH01031"/>
    <d v="2026-08-06T00:00:00"/>
    <s v="Thursday"/>
    <s v="Future"/>
    <x v="5"/>
    <s v="Day"/>
    <x v="102"/>
    <x v="102"/>
    <n v="12"/>
    <x v="25"/>
    <x v="2"/>
  </r>
  <r>
    <s v="SCH01032"/>
    <d v="2026-08-06T00:00:00"/>
    <s v="Thursday"/>
    <s v="Future"/>
    <x v="5"/>
    <s v="Night"/>
    <x v="103"/>
    <x v="103"/>
    <n v="12"/>
    <x v="11"/>
    <x v="2"/>
  </r>
  <r>
    <s v="SCH01033"/>
    <d v="2026-08-06T00:00:00"/>
    <s v="Thursday"/>
    <s v="Future"/>
    <x v="6"/>
    <s v="Day"/>
    <x v="102"/>
    <x v="102"/>
    <n v="12"/>
    <x v="36"/>
    <x v="2"/>
  </r>
  <r>
    <s v="SCH01034"/>
    <d v="2026-08-06T00:00:00"/>
    <s v="Thursday"/>
    <s v="Future"/>
    <x v="6"/>
    <s v="Night"/>
    <x v="103"/>
    <x v="103"/>
    <n v="12"/>
    <x v="13"/>
    <x v="2"/>
  </r>
  <r>
    <s v="SCH01035"/>
    <d v="2026-08-06T00:00:00"/>
    <s v="Thursday"/>
    <s v="Future"/>
    <x v="7"/>
    <s v="Day"/>
    <x v="102"/>
    <x v="102"/>
    <n v="12"/>
    <x v="14"/>
    <x v="2"/>
  </r>
  <r>
    <s v="SCH01036"/>
    <d v="2026-08-06T00:00:00"/>
    <s v="Thursday"/>
    <s v="Future"/>
    <x v="7"/>
    <s v="Night"/>
    <x v="103"/>
    <x v="103"/>
    <n v="12"/>
    <x v="28"/>
    <x v="2"/>
  </r>
  <r>
    <s v="SCH01037"/>
    <d v="2026-08-06T00:00:00"/>
    <s v="Thursday"/>
    <s v="Future"/>
    <x v="8"/>
    <s v="Day"/>
    <x v="102"/>
    <x v="102"/>
    <n v="12"/>
    <x v="17"/>
    <x v="2"/>
  </r>
  <r>
    <s v="SCH01038"/>
    <d v="2026-08-06T00:00:00"/>
    <s v="Thursday"/>
    <s v="Future"/>
    <x v="8"/>
    <s v="Night"/>
    <x v="103"/>
    <x v="103"/>
    <n v="12"/>
    <x v="30"/>
    <x v="2"/>
  </r>
  <r>
    <s v="SCH01039"/>
    <d v="2026-08-06T00:00:00"/>
    <s v="Thursday"/>
    <s v="Future"/>
    <x v="9"/>
    <s v="Day"/>
    <x v="102"/>
    <x v="102"/>
    <n v="12"/>
    <x v="32"/>
    <x v="2"/>
  </r>
  <r>
    <s v="SCH01040"/>
    <d v="2026-08-06T00:00:00"/>
    <s v="Thursday"/>
    <s v="Future"/>
    <x v="9"/>
    <s v="Night"/>
    <x v="103"/>
    <x v="103"/>
    <n v="12"/>
    <x v="19"/>
    <x v="2"/>
  </r>
  <r>
    <s v="SCH01041"/>
    <d v="2026-08-07T00:00:00"/>
    <s v="Friday"/>
    <s v="Future"/>
    <x v="0"/>
    <s v="Day"/>
    <x v="104"/>
    <x v="104"/>
    <n v="12"/>
    <x v="20"/>
    <x v="2"/>
  </r>
  <r>
    <s v="SCH01042"/>
    <d v="2026-08-07T00:00:00"/>
    <s v="Friday"/>
    <s v="Future"/>
    <x v="0"/>
    <s v="Night"/>
    <x v="105"/>
    <x v="105"/>
    <n v="12"/>
    <x v="1"/>
    <x v="2"/>
  </r>
  <r>
    <s v="SCH01043"/>
    <d v="2026-08-07T00:00:00"/>
    <s v="Friday"/>
    <s v="Future"/>
    <x v="1"/>
    <s v="Day"/>
    <x v="104"/>
    <x v="104"/>
    <n v="12"/>
    <x v="3"/>
    <x v="2"/>
  </r>
  <r>
    <s v="SCH01044"/>
    <d v="2026-08-07T00:00:00"/>
    <s v="Friday"/>
    <s v="Future"/>
    <x v="1"/>
    <s v="Night"/>
    <x v="105"/>
    <x v="105"/>
    <n v="12"/>
    <x v="45"/>
    <x v="2"/>
  </r>
  <r>
    <s v="SCH01045"/>
    <d v="2026-08-07T00:00:00"/>
    <s v="Friday"/>
    <s v="Future"/>
    <x v="2"/>
    <s v="Day"/>
    <x v="104"/>
    <x v="104"/>
    <n v="12"/>
    <x v="33"/>
    <x v="2"/>
  </r>
  <r>
    <s v="SCH01046"/>
    <d v="2026-08-07T00:00:00"/>
    <s v="Friday"/>
    <s v="Future"/>
    <x v="2"/>
    <s v="Night"/>
    <x v="105"/>
    <x v="105"/>
    <n v="12"/>
    <x v="4"/>
    <x v="2"/>
  </r>
  <r>
    <s v="SCH01047"/>
    <d v="2026-08-07T00:00:00"/>
    <s v="Friday"/>
    <s v="Future"/>
    <x v="3"/>
    <s v="Day"/>
    <x v="104"/>
    <x v="104"/>
    <n v="12"/>
    <x v="6"/>
    <x v="2"/>
  </r>
  <r>
    <s v="SCH01048"/>
    <d v="2026-08-07T00:00:00"/>
    <s v="Friday"/>
    <s v="Future"/>
    <x v="3"/>
    <s v="Night"/>
    <x v="105"/>
    <x v="105"/>
    <n v="12"/>
    <x v="23"/>
    <x v="2"/>
  </r>
  <r>
    <s v="SCH01049"/>
    <d v="2026-08-07T00:00:00"/>
    <s v="Friday"/>
    <s v="Future"/>
    <x v="4"/>
    <s v="Day"/>
    <x v="104"/>
    <x v="104"/>
    <n v="12"/>
    <x v="24"/>
    <x v="2"/>
  </r>
  <r>
    <s v="SCH01050"/>
    <d v="2026-08-07T00:00:00"/>
    <s v="Friday"/>
    <s v="Future"/>
    <x v="4"/>
    <s v="Night"/>
    <x v="105"/>
    <x v="105"/>
    <n v="12"/>
    <x v="8"/>
    <x v="2"/>
  </r>
  <r>
    <s v="SCH01051"/>
    <d v="2026-08-07T00:00:00"/>
    <s v="Friday"/>
    <s v="Future"/>
    <x v="5"/>
    <s v="Day"/>
    <x v="104"/>
    <x v="104"/>
    <n v="12"/>
    <x v="25"/>
    <x v="2"/>
  </r>
  <r>
    <s v="SCH01052"/>
    <d v="2026-08-07T00:00:00"/>
    <s v="Friday"/>
    <s v="Future"/>
    <x v="5"/>
    <s v="Night"/>
    <x v="105"/>
    <x v="105"/>
    <n v="12"/>
    <x v="11"/>
    <x v="2"/>
  </r>
  <r>
    <s v="SCH01053"/>
    <d v="2026-08-07T00:00:00"/>
    <s v="Friday"/>
    <s v="Future"/>
    <x v="6"/>
    <s v="Day"/>
    <x v="104"/>
    <x v="104"/>
    <n v="12"/>
    <x v="35"/>
    <x v="2"/>
  </r>
  <r>
    <s v="SCH01054"/>
    <d v="2026-08-07T00:00:00"/>
    <s v="Friday"/>
    <s v="Future"/>
    <x v="6"/>
    <s v="Night"/>
    <x v="105"/>
    <x v="105"/>
    <n v="12"/>
    <x v="13"/>
    <x v="2"/>
  </r>
  <r>
    <s v="SCH01055"/>
    <d v="2026-08-07T00:00:00"/>
    <s v="Friday"/>
    <s v="Future"/>
    <x v="7"/>
    <s v="Day"/>
    <x v="104"/>
    <x v="104"/>
    <n v="12"/>
    <x v="14"/>
    <x v="2"/>
  </r>
  <r>
    <s v="SCH01056"/>
    <d v="2026-08-07T00:00:00"/>
    <s v="Friday"/>
    <s v="Future"/>
    <x v="7"/>
    <s v="Night"/>
    <x v="105"/>
    <x v="105"/>
    <n v="12"/>
    <x v="29"/>
    <x v="2"/>
  </r>
  <r>
    <s v="SCH01057"/>
    <d v="2026-08-07T00:00:00"/>
    <s v="Friday"/>
    <s v="Future"/>
    <x v="8"/>
    <s v="Day"/>
    <x v="104"/>
    <x v="104"/>
    <n v="12"/>
    <x v="17"/>
    <x v="2"/>
  </r>
  <r>
    <s v="SCH01058"/>
    <d v="2026-08-07T00:00:00"/>
    <s v="Friday"/>
    <s v="Future"/>
    <x v="8"/>
    <s v="Night"/>
    <x v="105"/>
    <x v="105"/>
    <n v="12"/>
    <x v="44"/>
    <x v="2"/>
  </r>
  <r>
    <s v="SCH01059"/>
    <d v="2026-08-07T00:00:00"/>
    <s v="Friday"/>
    <s v="Future"/>
    <x v="9"/>
    <s v="Day"/>
    <x v="104"/>
    <x v="104"/>
    <n v="12"/>
    <x v="19"/>
    <x v="2"/>
  </r>
  <r>
    <s v="SCH01060"/>
    <d v="2026-08-07T00:00:00"/>
    <s v="Friday"/>
    <s v="Future"/>
    <x v="9"/>
    <s v="Night"/>
    <x v="105"/>
    <x v="105"/>
    <n v="12"/>
    <x v="31"/>
    <x v="2"/>
  </r>
  <r>
    <s v="SCH01061"/>
    <d v="2026-08-08T00:00:00"/>
    <s v="Saturday"/>
    <s v="Future"/>
    <x v="0"/>
    <s v="Day"/>
    <x v="106"/>
    <x v="106"/>
    <n v="12"/>
    <x v="20"/>
    <x v="2"/>
  </r>
  <r>
    <s v="SCH01062"/>
    <d v="2026-08-08T00:00:00"/>
    <s v="Saturday"/>
    <s v="Future"/>
    <x v="0"/>
    <s v="Night"/>
    <x v="107"/>
    <x v="107"/>
    <n v="12"/>
    <x v="1"/>
    <x v="2"/>
  </r>
  <r>
    <s v="SCH01063"/>
    <d v="2026-08-08T00:00:00"/>
    <s v="Saturday"/>
    <s v="Future"/>
    <x v="1"/>
    <s v="Day"/>
    <x v="106"/>
    <x v="106"/>
    <n v="12"/>
    <x v="2"/>
    <x v="2"/>
  </r>
  <r>
    <s v="SCH01064"/>
    <d v="2026-08-08T00:00:00"/>
    <s v="Saturday"/>
    <s v="Future"/>
    <x v="1"/>
    <s v="Night"/>
    <x v="107"/>
    <x v="107"/>
    <n v="12"/>
    <x v="45"/>
    <x v="2"/>
  </r>
  <r>
    <s v="SCH01065"/>
    <d v="2026-08-08T00:00:00"/>
    <s v="Saturday"/>
    <s v="Future"/>
    <x v="2"/>
    <s v="Day"/>
    <x v="106"/>
    <x v="106"/>
    <n v="12"/>
    <x v="5"/>
    <x v="2"/>
  </r>
  <r>
    <s v="SCH01066"/>
    <d v="2026-08-08T00:00:00"/>
    <s v="Saturday"/>
    <s v="Future"/>
    <x v="2"/>
    <s v="Night"/>
    <x v="107"/>
    <x v="107"/>
    <n v="12"/>
    <x v="22"/>
    <x v="2"/>
  </r>
  <r>
    <s v="SCH01067"/>
    <d v="2026-08-08T00:00:00"/>
    <s v="Saturday"/>
    <s v="Future"/>
    <x v="3"/>
    <s v="Day"/>
    <x v="106"/>
    <x v="106"/>
    <n v="12"/>
    <x v="6"/>
    <x v="2"/>
  </r>
  <r>
    <s v="SCH01068"/>
    <d v="2026-08-08T00:00:00"/>
    <s v="Saturday"/>
    <s v="Future"/>
    <x v="3"/>
    <s v="Night"/>
    <x v="107"/>
    <x v="107"/>
    <n v="12"/>
    <x v="34"/>
    <x v="2"/>
  </r>
  <r>
    <s v="SCH01069"/>
    <d v="2026-08-08T00:00:00"/>
    <s v="Saturday"/>
    <s v="Future"/>
    <x v="4"/>
    <s v="Day"/>
    <x v="106"/>
    <x v="106"/>
    <n v="12"/>
    <x v="24"/>
    <x v="2"/>
  </r>
  <r>
    <s v="SCH01070"/>
    <d v="2026-08-08T00:00:00"/>
    <s v="Saturday"/>
    <s v="Future"/>
    <x v="4"/>
    <s v="Night"/>
    <x v="107"/>
    <x v="107"/>
    <n v="12"/>
    <x v="9"/>
    <x v="2"/>
  </r>
  <r>
    <s v="SCH01071"/>
    <d v="2026-08-08T00:00:00"/>
    <s v="Saturday"/>
    <s v="Future"/>
    <x v="5"/>
    <s v="Day"/>
    <x v="106"/>
    <x v="106"/>
    <n v="12"/>
    <x v="10"/>
    <x v="2"/>
  </r>
  <r>
    <s v="SCH01072"/>
    <d v="2026-08-08T00:00:00"/>
    <s v="Saturday"/>
    <s v="Future"/>
    <x v="5"/>
    <s v="Night"/>
    <x v="107"/>
    <x v="107"/>
    <n v="12"/>
    <x v="25"/>
    <x v="2"/>
  </r>
  <r>
    <s v="SCH01073"/>
    <d v="2026-08-08T00:00:00"/>
    <s v="Saturday"/>
    <s v="Future"/>
    <x v="6"/>
    <s v="Day"/>
    <x v="106"/>
    <x v="106"/>
    <n v="12"/>
    <x v="27"/>
    <x v="2"/>
  </r>
  <r>
    <s v="SCH01074"/>
    <d v="2026-08-08T00:00:00"/>
    <s v="Saturday"/>
    <s v="Future"/>
    <x v="6"/>
    <s v="Night"/>
    <x v="107"/>
    <x v="107"/>
    <n v="12"/>
    <x v="12"/>
    <x v="2"/>
  </r>
  <r>
    <s v="SCH01075"/>
    <d v="2026-08-08T00:00:00"/>
    <s v="Saturday"/>
    <s v="Future"/>
    <x v="7"/>
    <s v="Day"/>
    <x v="106"/>
    <x v="106"/>
    <n v="12"/>
    <x v="28"/>
    <x v="2"/>
  </r>
  <r>
    <s v="SCH01076"/>
    <d v="2026-08-08T00:00:00"/>
    <s v="Saturday"/>
    <s v="Future"/>
    <x v="7"/>
    <s v="Night"/>
    <x v="107"/>
    <x v="107"/>
    <n v="12"/>
    <x v="29"/>
    <x v="2"/>
  </r>
  <r>
    <s v="SCH01077"/>
    <d v="2026-08-08T00:00:00"/>
    <s v="Saturday"/>
    <s v="Future"/>
    <x v="8"/>
    <s v="Day"/>
    <x v="106"/>
    <x v="106"/>
    <n v="12"/>
    <x v="30"/>
    <x v="2"/>
  </r>
  <r>
    <s v="SCH01078"/>
    <d v="2026-08-08T00:00:00"/>
    <s v="Saturday"/>
    <s v="Future"/>
    <x v="8"/>
    <s v="Night"/>
    <x v="107"/>
    <x v="107"/>
    <n v="12"/>
    <x v="39"/>
    <x v="2"/>
  </r>
  <r>
    <s v="SCH01079"/>
    <d v="2026-08-08T00:00:00"/>
    <s v="Saturday"/>
    <s v="Future"/>
    <x v="9"/>
    <s v="Day"/>
    <x v="106"/>
    <x v="106"/>
    <n v="12"/>
    <x v="32"/>
    <x v="2"/>
  </r>
  <r>
    <s v="SCH01080"/>
    <d v="2026-08-08T00:00:00"/>
    <s v="Saturday"/>
    <s v="Future"/>
    <x v="9"/>
    <s v="Night"/>
    <x v="107"/>
    <x v="107"/>
    <n v="12"/>
    <x v="19"/>
    <x v="2"/>
  </r>
  <r>
    <s v="SCH01081"/>
    <d v="2026-08-09T00:00:00"/>
    <s v="Sunday"/>
    <s v="Future"/>
    <x v="0"/>
    <s v="Day"/>
    <x v="108"/>
    <x v="108"/>
    <n v="12"/>
    <x v="1"/>
    <x v="2"/>
  </r>
  <r>
    <s v="SCH01082"/>
    <d v="2026-08-09T00:00:00"/>
    <s v="Sunday"/>
    <s v="Future"/>
    <x v="0"/>
    <s v="Night"/>
    <x v="109"/>
    <x v="109"/>
    <n v="12"/>
    <x v="20"/>
    <x v="2"/>
  </r>
  <r>
    <s v="SCH01083"/>
    <d v="2026-08-09T00:00:00"/>
    <s v="Sunday"/>
    <s v="Future"/>
    <x v="1"/>
    <s v="Day"/>
    <x v="108"/>
    <x v="108"/>
    <n v="12"/>
    <x v="21"/>
    <x v="2"/>
  </r>
  <r>
    <s v="SCH01084"/>
    <d v="2026-08-09T00:00:00"/>
    <s v="Sunday"/>
    <s v="Future"/>
    <x v="1"/>
    <s v="Night"/>
    <x v="109"/>
    <x v="109"/>
    <n v="12"/>
    <x v="3"/>
    <x v="2"/>
  </r>
  <r>
    <s v="SCH01085"/>
    <d v="2026-08-09T00:00:00"/>
    <s v="Sunday"/>
    <s v="Future"/>
    <x v="2"/>
    <s v="Day"/>
    <x v="108"/>
    <x v="108"/>
    <n v="12"/>
    <x v="4"/>
    <x v="2"/>
  </r>
  <r>
    <s v="SCH01086"/>
    <d v="2026-08-09T00:00:00"/>
    <s v="Sunday"/>
    <s v="Future"/>
    <x v="2"/>
    <s v="Night"/>
    <x v="109"/>
    <x v="109"/>
    <n v="12"/>
    <x v="5"/>
    <x v="2"/>
  </r>
  <r>
    <s v="SCH01087"/>
    <d v="2026-08-09T00:00:00"/>
    <s v="Sunday"/>
    <s v="Future"/>
    <x v="3"/>
    <s v="Day"/>
    <x v="108"/>
    <x v="108"/>
    <n v="12"/>
    <x v="6"/>
    <x v="2"/>
  </r>
  <r>
    <s v="SCH01088"/>
    <d v="2026-08-09T00:00:00"/>
    <s v="Sunday"/>
    <s v="Future"/>
    <x v="3"/>
    <s v="Night"/>
    <x v="109"/>
    <x v="109"/>
    <n v="12"/>
    <x v="7"/>
    <x v="2"/>
  </r>
  <r>
    <s v="SCH01089"/>
    <d v="2026-08-09T00:00:00"/>
    <s v="Sunday"/>
    <s v="Future"/>
    <x v="4"/>
    <s v="Day"/>
    <x v="108"/>
    <x v="108"/>
    <n v="12"/>
    <x v="24"/>
    <x v="2"/>
  </r>
  <r>
    <s v="SCH01090"/>
    <d v="2026-08-09T00:00:00"/>
    <s v="Sunday"/>
    <s v="Future"/>
    <x v="4"/>
    <s v="Night"/>
    <x v="109"/>
    <x v="109"/>
    <n v="12"/>
    <x v="8"/>
    <x v="2"/>
  </r>
  <r>
    <s v="SCH01091"/>
    <d v="2026-08-09T00:00:00"/>
    <s v="Sunday"/>
    <s v="Future"/>
    <x v="5"/>
    <s v="Day"/>
    <x v="108"/>
    <x v="108"/>
    <n v="12"/>
    <x v="25"/>
    <x v="2"/>
  </r>
  <r>
    <s v="SCH01092"/>
    <d v="2026-08-09T00:00:00"/>
    <s v="Sunday"/>
    <s v="Future"/>
    <x v="5"/>
    <s v="Night"/>
    <x v="109"/>
    <x v="109"/>
    <n v="12"/>
    <x v="11"/>
    <x v="2"/>
  </r>
  <r>
    <s v="SCH01093"/>
    <d v="2026-08-09T00:00:00"/>
    <s v="Sunday"/>
    <s v="Future"/>
    <x v="6"/>
    <s v="Day"/>
    <x v="108"/>
    <x v="108"/>
    <n v="12"/>
    <x v="13"/>
    <x v="2"/>
  </r>
  <r>
    <s v="SCH01094"/>
    <d v="2026-08-09T00:00:00"/>
    <s v="Sunday"/>
    <s v="Future"/>
    <x v="6"/>
    <s v="Night"/>
    <x v="109"/>
    <x v="109"/>
    <n v="12"/>
    <x v="27"/>
    <x v="2"/>
  </r>
  <r>
    <s v="SCH01095"/>
    <d v="2026-08-09T00:00:00"/>
    <s v="Sunday"/>
    <s v="Future"/>
    <x v="7"/>
    <s v="Day"/>
    <x v="108"/>
    <x v="108"/>
    <n v="12"/>
    <x v="29"/>
    <x v="2"/>
  </r>
  <r>
    <s v="SCH01096"/>
    <d v="2026-08-09T00:00:00"/>
    <s v="Sunday"/>
    <s v="Future"/>
    <x v="7"/>
    <s v="Night"/>
    <x v="109"/>
    <x v="109"/>
    <n v="12"/>
    <x v="28"/>
    <x v="2"/>
  </r>
  <r>
    <s v="SCH01097"/>
    <d v="2026-08-09T00:00:00"/>
    <s v="Sunday"/>
    <s v="Future"/>
    <x v="8"/>
    <s v="Day"/>
    <x v="108"/>
    <x v="108"/>
    <n v="12"/>
    <x v="39"/>
    <x v="2"/>
  </r>
  <r>
    <s v="SCH01098"/>
    <d v="2026-08-09T00:00:00"/>
    <s v="Sunday"/>
    <s v="Future"/>
    <x v="8"/>
    <s v="Night"/>
    <x v="109"/>
    <x v="109"/>
    <n v="12"/>
    <x v="30"/>
    <x v="2"/>
  </r>
  <r>
    <s v="SCH01099"/>
    <d v="2026-08-09T00:00:00"/>
    <s v="Sunday"/>
    <s v="Future"/>
    <x v="9"/>
    <s v="Day"/>
    <x v="108"/>
    <x v="108"/>
    <n v="12"/>
    <x v="42"/>
    <x v="2"/>
  </r>
  <r>
    <s v="SCH01100"/>
    <d v="2026-08-09T00:00:00"/>
    <s v="Sunday"/>
    <s v="Future"/>
    <x v="9"/>
    <s v="Night"/>
    <x v="109"/>
    <x v="109"/>
    <n v="12"/>
    <x v="32"/>
    <x v="2"/>
  </r>
  <r>
    <s v="SCH01101"/>
    <d v="2026-08-10T00:00:00"/>
    <s v="Monday"/>
    <s v="Future"/>
    <x v="0"/>
    <s v="Day"/>
    <x v="110"/>
    <x v="110"/>
    <n v="12"/>
    <x v="0"/>
    <x v="2"/>
  </r>
  <r>
    <s v="SCH01102"/>
    <d v="2026-08-10T00:00:00"/>
    <s v="Monday"/>
    <s v="Future"/>
    <x v="0"/>
    <s v="Night"/>
    <x v="111"/>
    <x v="111"/>
    <n v="12"/>
    <x v="1"/>
    <x v="2"/>
  </r>
  <r>
    <s v="SCH01103"/>
    <d v="2026-08-10T00:00:00"/>
    <s v="Monday"/>
    <s v="Future"/>
    <x v="1"/>
    <s v="Day"/>
    <x v="110"/>
    <x v="110"/>
    <n v="12"/>
    <x v="21"/>
    <x v="2"/>
  </r>
  <r>
    <s v="SCH01104"/>
    <d v="2026-08-10T00:00:00"/>
    <s v="Monday"/>
    <s v="Future"/>
    <x v="1"/>
    <s v="Night"/>
    <x v="111"/>
    <x v="111"/>
    <n v="12"/>
    <x v="40"/>
    <x v="2"/>
  </r>
  <r>
    <s v="SCH01105"/>
    <d v="2026-08-10T00:00:00"/>
    <s v="Monday"/>
    <s v="Future"/>
    <x v="2"/>
    <s v="Day"/>
    <x v="110"/>
    <x v="110"/>
    <n v="12"/>
    <x v="4"/>
    <x v="2"/>
  </r>
  <r>
    <s v="SCH01106"/>
    <d v="2026-08-10T00:00:00"/>
    <s v="Monday"/>
    <s v="Future"/>
    <x v="2"/>
    <s v="Night"/>
    <x v="111"/>
    <x v="111"/>
    <n v="12"/>
    <x v="22"/>
    <x v="2"/>
  </r>
  <r>
    <s v="SCH01107"/>
    <d v="2026-08-10T00:00:00"/>
    <s v="Monday"/>
    <s v="Future"/>
    <x v="3"/>
    <s v="Day"/>
    <x v="110"/>
    <x v="110"/>
    <n v="12"/>
    <x v="7"/>
    <x v="2"/>
  </r>
  <r>
    <s v="SCH01108"/>
    <d v="2026-08-10T00:00:00"/>
    <s v="Monday"/>
    <s v="Future"/>
    <x v="3"/>
    <s v="Night"/>
    <x v="111"/>
    <x v="111"/>
    <n v="12"/>
    <x v="23"/>
    <x v="2"/>
  </r>
  <r>
    <s v="SCH01109"/>
    <d v="2026-08-10T00:00:00"/>
    <s v="Monday"/>
    <s v="Future"/>
    <x v="4"/>
    <s v="Day"/>
    <x v="110"/>
    <x v="110"/>
    <n v="12"/>
    <x v="9"/>
    <x v="2"/>
  </r>
  <r>
    <s v="SCH01110"/>
    <d v="2026-08-10T00:00:00"/>
    <s v="Monday"/>
    <s v="Future"/>
    <x v="4"/>
    <s v="Night"/>
    <x v="111"/>
    <x v="111"/>
    <n v="12"/>
    <x v="24"/>
    <x v="2"/>
  </r>
  <r>
    <s v="SCH01111"/>
    <d v="2026-08-10T00:00:00"/>
    <s v="Monday"/>
    <s v="Future"/>
    <x v="5"/>
    <s v="Day"/>
    <x v="110"/>
    <x v="110"/>
    <n v="12"/>
    <x v="41"/>
    <x v="2"/>
  </r>
  <r>
    <s v="SCH01112"/>
    <d v="2026-08-10T00:00:00"/>
    <s v="Monday"/>
    <s v="Future"/>
    <x v="5"/>
    <s v="Night"/>
    <x v="111"/>
    <x v="111"/>
    <n v="12"/>
    <x v="26"/>
    <x v="2"/>
  </r>
  <r>
    <s v="SCH01113"/>
    <d v="2026-08-10T00:00:00"/>
    <s v="Monday"/>
    <s v="Future"/>
    <x v="6"/>
    <s v="Day"/>
    <x v="110"/>
    <x v="110"/>
    <n v="12"/>
    <x v="36"/>
    <x v="2"/>
  </r>
  <r>
    <s v="SCH01114"/>
    <d v="2026-08-10T00:00:00"/>
    <s v="Monday"/>
    <s v="Future"/>
    <x v="6"/>
    <s v="Night"/>
    <x v="111"/>
    <x v="111"/>
    <n v="12"/>
    <x v="27"/>
    <x v="2"/>
  </r>
  <r>
    <s v="SCH01115"/>
    <d v="2026-08-10T00:00:00"/>
    <s v="Monday"/>
    <s v="Future"/>
    <x v="7"/>
    <s v="Day"/>
    <x v="110"/>
    <x v="110"/>
    <n v="12"/>
    <x v="28"/>
    <x v="2"/>
  </r>
  <r>
    <s v="SCH01116"/>
    <d v="2026-08-10T00:00:00"/>
    <s v="Monday"/>
    <s v="Future"/>
    <x v="7"/>
    <s v="Night"/>
    <x v="111"/>
    <x v="111"/>
    <n v="12"/>
    <x v="14"/>
    <x v="2"/>
  </r>
  <r>
    <s v="SCH01117"/>
    <d v="2026-08-10T00:00:00"/>
    <s v="Monday"/>
    <s v="Future"/>
    <x v="8"/>
    <s v="Day"/>
    <x v="110"/>
    <x v="110"/>
    <n v="12"/>
    <x v="30"/>
    <x v="2"/>
  </r>
  <r>
    <s v="SCH01118"/>
    <d v="2026-08-10T00:00:00"/>
    <s v="Monday"/>
    <s v="Future"/>
    <x v="8"/>
    <s v="Night"/>
    <x v="111"/>
    <x v="111"/>
    <n v="12"/>
    <x v="39"/>
    <x v="2"/>
  </r>
  <r>
    <s v="SCH01119"/>
    <d v="2026-08-10T00:00:00"/>
    <s v="Monday"/>
    <s v="Future"/>
    <x v="9"/>
    <s v="Day"/>
    <x v="110"/>
    <x v="110"/>
    <n v="12"/>
    <x v="19"/>
    <x v="2"/>
  </r>
  <r>
    <s v="SCH01120"/>
    <d v="2026-08-10T00:00:00"/>
    <s v="Monday"/>
    <s v="Future"/>
    <x v="9"/>
    <s v="Night"/>
    <x v="111"/>
    <x v="111"/>
    <n v="12"/>
    <x v="18"/>
    <x v="2"/>
  </r>
  <r>
    <s v="SCH01121"/>
    <d v="2026-08-11T00:00:00"/>
    <s v="Tuesday"/>
    <s v="Future"/>
    <x v="0"/>
    <s v="Day"/>
    <x v="112"/>
    <x v="112"/>
    <n v="12"/>
    <x v="0"/>
    <x v="2"/>
  </r>
  <r>
    <s v="SCH01122"/>
    <d v="2026-08-11T00:00:00"/>
    <s v="Tuesday"/>
    <s v="Future"/>
    <x v="0"/>
    <s v="Night"/>
    <x v="113"/>
    <x v="113"/>
    <n v="12"/>
    <x v="20"/>
    <x v="2"/>
  </r>
  <r>
    <s v="SCH01123"/>
    <d v="2026-08-11T00:00:00"/>
    <s v="Tuesday"/>
    <s v="Future"/>
    <x v="1"/>
    <s v="Day"/>
    <x v="112"/>
    <x v="112"/>
    <n v="12"/>
    <x v="2"/>
    <x v="2"/>
  </r>
  <r>
    <s v="SCH01124"/>
    <d v="2026-08-11T00:00:00"/>
    <s v="Tuesday"/>
    <s v="Future"/>
    <x v="1"/>
    <s v="Night"/>
    <x v="113"/>
    <x v="113"/>
    <n v="12"/>
    <x v="3"/>
    <x v="2"/>
  </r>
  <r>
    <s v="SCH01125"/>
    <d v="2026-08-11T00:00:00"/>
    <s v="Tuesday"/>
    <s v="Future"/>
    <x v="2"/>
    <s v="Day"/>
    <x v="112"/>
    <x v="112"/>
    <n v="12"/>
    <x v="5"/>
    <x v="2"/>
  </r>
  <r>
    <s v="SCH01126"/>
    <d v="2026-08-11T00:00:00"/>
    <s v="Tuesday"/>
    <s v="Future"/>
    <x v="2"/>
    <s v="Night"/>
    <x v="113"/>
    <x v="113"/>
    <n v="12"/>
    <x v="4"/>
    <x v="2"/>
  </r>
  <r>
    <s v="SCH01127"/>
    <d v="2026-08-11T00:00:00"/>
    <s v="Tuesday"/>
    <s v="Future"/>
    <x v="3"/>
    <s v="Day"/>
    <x v="112"/>
    <x v="112"/>
    <n v="12"/>
    <x v="6"/>
    <x v="2"/>
  </r>
  <r>
    <s v="SCH01128"/>
    <d v="2026-08-11T00:00:00"/>
    <s v="Tuesday"/>
    <s v="Future"/>
    <x v="3"/>
    <s v="Night"/>
    <x v="113"/>
    <x v="113"/>
    <n v="12"/>
    <x v="7"/>
    <x v="2"/>
  </r>
  <r>
    <s v="SCH01129"/>
    <d v="2026-08-11T00:00:00"/>
    <s v="Tuesday"/>
    <s v="Future"/>
    <x v="4"/>
    <s v="Day"/>
    <x v="112"/>
    <x v="112"/>
    <n v="12"/>
    <x v="9"/>
    <x v="2"/>
  </r>
  <r>
    <s v="SCH01130"/>
    <d v="2026-08-11T00:00:00"/>
    <s v="Tuesday"/>
    <s v="Future"/>
    <x v="4"/>
    <s v="Night"/>
    <x v="113"/>
    <x v="113"/>
    <n v="12"/>
    <x v="8"/>
    <x v="2"/>
  </r>
  <r>
    <s v="SCH01131"/>
    <d v="2026-08-11T00:00:00"/>
    <s v="Tuesday"/>
    <s v="Future"/>
    <x v="5"/>
    <s v="Day"/>
    <x v="112"/>
    <x v="112"/>
    <n v="12"/>
    <x v="11"/>
    <x v="2"/>
  </r>
  <r>
    <s v="SCH01132"/>
    <d v="2026-08-11T00:00:00"/>
    <s v="Tuesday"/>
    <s v="Future"/>
    <x v="5"/>
    <s v="Night"/>
    <x v="113"/>
    <x v="113"/>
    <n v="12"/>
    <x v="10"/>
    <x v="2"/>
  </r>
  <r>
    <s v="SCH01133"/>
    <d v="2026-08-11T00:00:00"/>
    <s v="Tuesday"/>
    <s v="Future"/>
    <x v="6"/>
    <s v="Day"/>
    <x v="112"/>
    <x v="112"/>
    <n v="12"/>
    <x v="13"/>
    <x v="2"/>
  </r>
  <r>
    <s v="SCH01134"/>
    <d v="2026-08-11T00:00:00"/>
    <s v="Tuesday"/>
    <s v="Future"/>
    <x v="6"/>
    <s v="Night"/>
    <x v="113"/>
    <x v="113"/>
    <n v="12"/>
    <x v="12"/>
    <x v="2"/>
  </r>
  <r>
    <s v="SCH01135"/>
    <d v="2026-08-11T00:00:00"/>
    <s v="Tuesday"/>
    <s v="Future"/>
    <x v="7"/>
    <s v="Day"/>
    <x v="112"/>
    <x v="112"/>
    <n v="12"/>
    <x v="29"/>
    <x v="2"/>
  </r>
  <r>
    <s v="SCH01136"/>
    <d v="2026-08-11T00:00:00"/>
    <s v="Tuesday"/>
    <s v="Future"/>
    <x v="7"/>
    <s v="Night"/>
    <x v="113"/>
    <x v="113"/>
    <n v="12"/>
    <x v="14"/>
    <x v="2"/>
  </r>
  <r>
    <s v="SCH01137"/>
    <d v="2026-08-11T00:00:00"/>
    <s v="Tuesday"/>
    <s v="Future"/>
    <x v="8"/>
    <s v="Day"/>
    <x v="112"/>
    <x v="112"/>
    <n v="12"/>
    <x v="16"/>
    <x v="2"/>
  </r>
  <r>
    <s v="SCH01138"/>
    <d v="2026-08-11T00:00:00"/>
    <s v="Tuesday"/>
    <s v="Future"/>
    <x v="8"/>
    <s v="Night"/>
    <x v="113"/>
    <x v="113"/>
    <n v="12"/>
    <x v="44"/>
    <x v="2"/>
  </r>
  <r>
    <s v="SCH01139"/>
    <d v="2026-08-11T00:00:00"/>
    <s v="Tuesday"/>
    <s v="Future"/>
    <x v="9"/>
    <s v="Day"/>
    <x v="112"/>
    <x v="112"/>
    <n v="12"/>
    <x v="18"/>
    <x v="2"/>
  </r>
  <r>
    <s v="SCH01140"/>
    <d v="2026-08-11T00:00:00"/>
    <s v="Tuesday"/>
    <s v="Future"/>
    <x v="9"/>
    <s v="Night"/>
    <x v="113"/>
    <x v="113"/>
    <n v="12"/>
    <x v="31"/>
    <x v="2"/>
  </r>
  <r>
    <s v="SCH01141"/>
    <d v="2026-08-12T00:00:00"/>
    <s v="Wednesday"/>
    <s v="Future"/>
    <x v="0"/>
    <s v="Day"/>
    <x v="114"/>
    <x v="114"/>
    <n v="12"/>
    <x v="20"/>
    <x v="2"/>
  </r>
  <r>
    <s v="SCH01142"/>
    <d v="2026-08-12T00:00:00"/>
    <s v="Wednesday"/>
    <s v="Future"/>
    <x v="0"/>
    <s v="Night"/>
    <x v="115"/>
    <x v="115"/>
    <n v="12"/>
    <x v="0"/>
    <x v="2"/>
  </r>
  <r>
    <s v="SCH01143"/>
    <d v="2026-08-12T00:00:00"/>
    <s v="Wednesday"/>
    <s v="Future"/>
    <x v="1"/>
    <s v="Day"/>
    <x v="114"/>
    <x v="114"/>
    <n v="12"/>
    <x v="3"/>
    <x v="2"/>
  </r>
  <r>
    <s v="SCH01144"/>
    <d v="2026-08-12T00:00:00"/>
    <s v="Wednesday"/>
    <s v="Future"/>
    <x v="1"/>
    <s v="Night"/>
    <x v="115"/>
    <x v="115"/>
    <n v="12"/>
    <x v="45"/>
    <x v="2"/>
  </r>
  <r>
    <s v="SCH01145"/>
    <d v="2026-08-12T00:00:00"/>
    <s v="Wednesday"/>
    <s v="Future"/>
    <x v="2"/>
    <s v="Day"/>
    <x v="114"/>
    <x v="114"/>
    <n v="12"/>
    <x v="5"/>
    <x v="2"/>
  </r>
  <r>
    <s v="SCH01146"/>
    <d v="2026-08-12T00:00:00"/>
    <s v="Wednesday"/>
    <s v="Future"/>
    <x v="2"/>
    <s v="Night"/>
    <x v="115"/>
    <x v="115"/>
    <n v="12"/>
    <x v="33"/>
    <x v="2"/>
  </r>
  <r>
    <s v="SCH01147"/>
    <d v="2026-08-12T00:00:00"/>
    <s v="Wednesday"/>
    <s v="Future"/>
    <x v="3"/>
    <s v="Day"/>
    <x v="114"/>
    <x v="114"/>
    <n v="12"/>
    <x v="6"/>
    <x v="2"/>
  </r>
  <r>
    <s v="SCH01148"/>
    <d v="2026-08-12T00:00:00"/>
    <s v="Wednesday"/>
    <s v="Future"/>
    <x v="3"/>
    <s v="Night"/>
    <x v="115"/>
    <x v="115"/>
    <n v="12"/>
    <x v="38"/>
    <x v="2"/>
  </r>
  <r>
    <s v="SCH01149"/>
    <d v="2026-08-12T00:00:00"/>
    <s v="Wednesday"/>
    <s v="Future"/>
    <x v="4"/>
    <s v="Day"/>
    <x v="114"/>
    <x v="114"/>
    <n v="12"/>
    <x v="9"/>
    <x v="2"/>
  </r>
  <r>
    <s v="SCH01150"/>
    <d v="2026-08-12T00:00:00"/>
    <s v="Wednesday"/>
    <s v="Future"/>
    <x v="4"/>
    <s v="Night"/>
    <x v="115"/>
    <x v="115"/>
    <n v="12"/>
    <x v="43"/>
    <x v="2"/>
  </r>
  <r>
    <s v="SCH01151"/>
    <d v="2026-08-12T00:00:00"/>
    <s v="Wednesday"/>
    <s v="Future"/>
    <x v="5"/>
    <s v="Day"/>
    <x v="114"/>
    <x v="114"/>
    <n v="12"/>
    <x v="10"/>
    <x v="2"/>
  </r>
  <r>
    <s v="SCH01152"/>
    <d v="2026-08-12T00:00:00"/>
    <s v="Wednesday"/>
    <s v="Future"/>
    <x v="5"/>
    <s v="Night"/>
    <x v="115"/>
    <x v="115"/>
    <n v="12"/>
    <x v="41"/>
    <x v="2"/>
  </r>
  <r>
    <s v="SCH01153"/>
    <d v="2026-08-12T00:00:00"/>
    <s v="Wednesday"/>
    <s v="Future"/>
    <x v="6"/>
    <s v="Day"/>
    <x v="114"/>
    <x v="114"/>
    <n v="12"/>
    <x v="12"/>
    <x v="2"/>
  </r>
  <r>
    <s v="SCH01154"/>
    <d v="2026-08-12T00:00:00"/>
    <s v="Wednesday"/>
    <s v="Future"/>
    <x v="6"/>
    <s v="Night"/>
    <x v="115"/>
    <x v="115"/>
    <n v="12"/>
    <x v="27"/>
    <x v="2"/>
  </r>
  <r>
    <s v="SCH01155"/>
    <d v="2026-08-12T00:00:00"/>
    <s v="Wednesday"/>
    <s v="Future"/>
    <x v="7"/>
    <s v="Day"/>
    <x v="114"/>
    <x v="114"/>
    <n v="12"/>
    <x v="15"/>
    <x v="2"/>
  </r>
  <r>
    <s v="SCH01156"/>
    <d v="2026-08-12T00:00:00"/>
    <s v="Wednesday"/>
    <s v="Future"/>
    <x v="7"/>
    <s v="Night"/>
    <x v="115"/>
    <x v="115"/>
    <n v="12"/>
    <x v="14"/>
    <x v="2"/>
  </r>
  <r>
    <s v="SCH01157"/>
    <d v="2026-08-12T00:00:00"/>
    <s v="Wednesday"/>
    <s v="Future"/>
    <x v="8"/>
    <s v="Day"/>
    <x v="114"/>
    <x v="114"/>
    <n v="12"/>
    <x v="17"/>
    <x v="2"/>
  </r>
  <r>
    <s v="SCH01158"/>
    <d v="2026-08-12T00:00:00"/>
    <s v="Wednesday"/>
    <s v="Future"/>
    <x v="8"/>
    <s v="Night"/>
    <x v="115"/>
    <x v="115"/>
    <n v="12"/>
    <x v="30"/>
    <x v="2"/>
  </r>
  <r>
    <s v="SCH01159"/>
    <d v="2026-08-12T00:00:00"/>
    <s v="Wednesday"/>
    <s v="Future"/>
    <x v="9"/>
    <s v="Day"/>
    <x v="114"/>
    <x v="114"/>
    <n v="12"/>
    <x v="18"/>
    <x v="2"/>
  </r>
  <r>
    <s v="SCH01160"/>
    <d v="2026-08-12T00:00:00"/>
    <s v="Wednesday"/>
    <s v="Future"/>
    <x v="9"/>
    <s v="Night"/>
    <x v="115"/>
    <x v="115"/>
    <n v="12"/>
    <x v="31"/>
    <x v="2"/>
  </r>
  <r>
    <s v="SCH01161"/>
    <d v="2026-08-13T00:00:00"/>
    <s v="Thursday"/>
    <s v="Future"/>
    <x v="0"/>
    <s v="Day"/>
    <x v="116"/>
    <x v="116"/>
    <n v="12"/>
    <x v="1"/>
    <x v="2"/>
  </r>
  <r>
    <s v="SCH01162"/>
    <d v="2026-08-13T00:00:00"/>
    <s v="Thursday"/>
    <s v="Future"/>
    <x v="0"/>
    <s v="Night"/>
    <x v="117"/>
    <x v="117"/>
    <n v="12"/>
    <x v="0"/>
    <x v="2"/>
  </r>
  <r>
    <s v="SCH01163"/>
    <d v="2026-08-13T00:00:00"/>
    <s v="Thursday"/>
    <s v="Future"/>
    <x v="1"/>
    <s v="Day"/>
    <x v="116"/>
    <x v="116"/>
    <n v="12"/>
    <x v="3"/>
    <x v="2"/>
  </r>
  <r>
    <s v="SCH01164"/>
    <d v="2026-08-13T00:00:00"/>
    <s v="Thursday"/>
    <s v="Future"/>
    <x v="1"/>
    <s v="Night"/>
    <x v="117"/>
    <x v="117"/>
    <n v="12"/>
    <x v="40"/>
    <x v="2"/>
  </r>
  <r>
    <s v="SCH01165"/>
    <d v="2026-08-13T00:00:00"/>
    <s v="Thursday"/>
    <s v="Future"/>
    <x v="2"/>
    <s v="Day"/>
    <x v="116"/>
    <x v="116"/>
    <n v="12"/>
    <x v="33"/>
    <x v="2"/>
  </r>
  <r>
    <s v="SCH01166"/>
    <d v="2026-08-13T00:00:00"/>
    <s v="Thursday"/>
    <s v="Future"/>
    <x v="2"/>
    <s v="Night"/>
    <x v="117"/>
    <x v="117"/>
    <n v="12"/>
    <x v="5"/>
    <x v="2"/>
  </r>
  <r>
    <s v="SCH01167"/>
    <d v="2026-08-13T00:00:00"/>
    <s v="Thursday"/>
    <s v="Future"/>
    <x v="3"/>
    <s v="Day"/>
    <x v="116"/>
    <x v="116"/>
    <n v="12"/>
    <x v="34"/>
    <x v="2"/>
  </r>
  <r>
    <s v="SCH01168"/>
    <d v="2026-08-13T00:00:00"/>
    <s v="Thursday"/>
    <s v="Future"/>
    <x v="3"/>
    <s v="Night"/>
    <x v="117"/>
    <x v="117"/>
    <n v="12"/>
    <x v="23"/>
    <x v="2"/>
  </r>
  <r>
    <s v="SCH01169"/>
    <d v="2026-08-13T00:00:00"/>
    <s v="Thursday"/>
    <s v="Future"/>
    <x v="4"/>
    <s v="Day"/>
    <x v="116"/>
    <x v="116"/>
    <n v="12"/>
    <x v="8"/>
    <x v="2"/>
  </r>
  <r>
    <s v="SCH01170"/>
    <d v="2026-08-13T00:00:00"/>
    <s v="Thursday"/>
    <s v="Future"/>
    <x v="4"/>
    <s v="Night"/>
    <x v="117"/>
    <x v="117"/>
    <n v="12"/>
    <x v="9"/>
    <x v="2"/>
  </r>
  <r>
    <s v="SCH01171"/>
    <d v="2026-08-13T00:00:00"/>
    <s v="Thursday"/>
    <s v="Future"/>
    <x v="5"/>
    <s v="Day"/>
    <x v="116"/>
    <x v="116"/>
    <n v="12"/>
    <x v="25"/>
    <x v="2"/>
  </r>
  <r>
    <s v="SCH01172"/>
    <d v="2026-08-13T00:00:00"/>
    <s v="Thursday"/>
    <s v="Future"/>
    <x v="5"/>
    <s v="Night"/>
    <x v="117"/>
    <x v="117"/>
    <n v="12"/>
    <x v="10"/>
    <x v="2"/>
  </r>
  <r>
    <s v="SCH01173"/>
    <d v="2026-08-13T00:00:00"/>
    <s v="Thursday"/>
    <s v="Future"/>
    <x v="6"/>
    <s v="Day"/>
    <x v="116"/>
    <x v="116"/>
    <n v="12"/>
    <x v="13"/>
    <x v="2"/>
  </r>
  <r>
    <s v="SCH01174"/>
    <d v="2026-08-13T00:00:00"/>
    <s v="Thursday"/>
    <s v="Future"/>
    <x v="6"/>
    <s v="Night"/>
    <x v="117"/>
    <x v="117"/>
    <n v="12"/>
    <x v="27"/>
    <x v="2"/>
  </r>
  <r>
    <s v="SCH01175"/>
    <d v="2026-08-13T00:00:00"/>
    <s v="Thursday"/>
    <s v="Future"/>
    <x v="7"/>
    <s v="Day"/>
    <x v="116"/>
    <x v="116"/>
    <n v="12"/>
    <x v="29"/>
    <x v="2"/>
  </r>
  <r>
    <s v="SCH01176"/>
    <d v="2026-08-13T00:00:00"/>
    <s v="Thursday"/>
    <s v="Future"/>
    <x v="7"/>
    <s v="Night"/>
    <x v="117"/>
    <x v="117"/>
    <n v="12"/>
    <x v="14"/>
    <x v="2"/>
  </r>
  <r>
    <s v="SCH01177"/>
    <d v="2026-08-13T00:00:00"/>
    <s v="Thursday"/>
    <s v="Future"/>
    <x v="8"/>
    <s v="Day"/>
    <x v="116"/>
    <x v="116"/>
    <n v="12"/>
    <x v="30"/>
    <x v="2"/>
  </r>
  <r>
    <s v="SCH01178"/>
    <d v="2026-08-13T00:00:00"/>
    <s v="Thursday"/>
    <s v="Future"/>
    <x v="8"/>
    <s v="Night"/>
    <x v="117"/>
    <x v="117"/>
    <n v="12"/>
    <x v="39"/>
    <x v="2"/>
  </r>
  <r>
    <s v="SCH01179"/>
    <d v="2026-08-13T00:00:00"/>
    <s v="Thursday"/>
    <s v="Future"/>
    <x v="9"/>
    <s v="Day"/>
    <x v="116"/>
    <x v="116"/>
    <n v="12"/>
    <x v="32"/>
    <x v="2"/>
  </r>
  <r>
    <s v="SCH01180"/>
    <d v="2026-08-13T00:00:00"/>
    <s v="Thursday"/>
    <s v="Future"/>
    <x v="9"/>
    <s v="Night"/>
    <x v="117"/>
    <x v="117"/>
    <n v="12"/>
    <x v="31"/>
    <x v="2"/>
  </r>
  <r>
    <s v="SCH01181"/>
    <d v="2026-08-14T00:00:00"/>
    <s v="Friday"/>
    <s v="Future"/>
    <x v="0"/>
    <s v="Day"/>
    <x v="118"/>
    <x v="118"/>
    <n v="12"/>
    <x v="0"/>
    <x v="2"/>
  </r>
  <r>
    <s v="SCH01182"/>
    <d v="2026-08-14T00:00:00"/>
    <s v="Friday"/>
    <s v="Future"/>
    <x v="0"/>
    <s v="Night"/>
    <x v="119"/>
    <x v="119"/>
    <n v="12"/>
    <x v="1"/>
    <x v="2"/>
  </r>
  <r>
    <s v="SCH01183"/>
    <d v="2026-08-14T00:00:00"/>
    <s v="Friday"/>
    <s v="Future"/>
    <x v="1"/>
    <s v="Day"/>
    <x v="118"/>
    <x v="118"/>
    <n v="12"/>
    <x v="3"/>
    <x v="2"/>
  </r>
  <r>
    <s v="SCH01184"/>
    <d v="2026-08-14T00:00:00"/>
    <s v="Friday"/>
    <s v="Future"/>
    <x v="1"/>
    <s v="Night"/>
    <x v="119"/>
    <x v="119"/>
    <n v="12"/>
    <x v="40"/>
    <x v="2"/>
  </r>
  <r>
    <s v="SCH01185"/>
    <d v="2026-08-14T00:00:00"/>
    <s v="Friday"/>
    <s v="Future"/>
    <x v="2"/>
    <s v="Day"/>
    <x v="118"/>
    <x v="118"/>
    <n v="12"/>
    <x v="4"/>
    <x v="2"/>
  </r>
  <r>
    <s v="SCH01186"/>
    <d v="2026-08-14T00:00:00"/>
    <s v="Friday"/>
    <s v="Future"/>
    <x v="2"/>
    <s v="Night"/>
    <x v="119"/>
    <x v="119"/>
    <n v="12"/>
    <x v="37"/>
    <x v="2"/>
  </r>
  <r>
    <s v="SCH01187"/>
    <d v="2026-08-14T00:00:00"/>
    <s v="Friday"/>
    <s v="Future"/>
    <x v="3"/>
    <s v="Day"/>
    <x v="118"/>
    <x v="118"/>
    <n v="12"/>
    <x v="34"/>
    <x v="2"/>
  </r>
  <r>
    <s v="SCH01188"/>
    <d v="2026-08-14T00:00:00"/>
    <s v="Friday"/>
    <s v="Future"/>
    <x v="3"/>
    <s v="Night"/>
    <x v="119"/>
    <x v="119"/>
    <n v="12"/>
    <x v="38"/>
    <x v="2"/>
  </r>
  <r>
    <s v="SCH01189"/>
    <d v="2026-08-14T00:00:00"/>
    <s v="Friday"/>
    <s v="Future"/>
    <x v="4"/>
    <s v="Day"/>
    <x v="118"/>
    <x v="118"/>
    <n v="12"/>
    <x v="9"/>
    <x v="2"/>
  </r>
  <r>
    <s v="SCH01190"/>
    <d v="2026-08-14T00:00:00"/>
    <s v="Friday"/>
    <s v="Future"/>
    <x v="4"/>
    <s v="Night"/>
    <x v="119"/>
    <x v="119"/>
    <n v="12"/>
    <x v="43"/>
    <x v="2"/>
  </r>
  <r>
    <s v="SCH01191"/>
    <d v="2026-08-14T00:00:00"/>
    <s v="Friday"/>
    <s v="Future"/>
    <x v="5"/>
    <s v="Day"/>
    <x v="118"/>
    <x v="118"/>
    <n v="12"/>
    <x v="41"/>
    <x v="2"/>
  </r>
  <r>
    <s v="SCH01192"/>
    <d v="2026-08-14T00:00:00"/>
    <s v="Friday"/>
    <s v="Future"/>
    <x v="5"/>
    <s v="Night"/>
    <x v="119"/>
    <x v="119"/>
    <n v="12"/>
    <x v="25"/>
    <x v="2"/>
  </r>
  <r>
    <s v="SCH01193"/>
    <d v="2026-08-14T00:00:00"/>
    <s v="Friday"/>
    <s v="Future"/>
    <x v="6"/>
    <s v="Day"/>
    <x v="118"/>
    <x v="118"/>
    <n v="12"/>
    <x v="12"/>
    <x v="2"/>
  </r>
  <r>
    <s v="SCH01194"/>
    <d v="2026-08-14T00:00:00"/>
    <s v="Friday"/>
    <s v="Future"/>
    <x v="6"/>
    <s v="Night"/>
    <x v="119"/>
    <x v="119"/>
    <n v="12"/>
    <x v="13"/>
    <x v="2"/>
  </r>
  <r>
    <s v="SCH01195"/>
    <d v="2026-08-14T00:00:00"/>
    <s v="Friday"/>
    <s v="Future"/>
    <x v="7"/>
    <s v="Day"/>
    <x v="118"/>
    <x v="118"/>
    <n v="12"/>
    <x v="28"/>
    <x v="2"/>
  </r>
  <r>
    <s v="SCH01196"/>
    <d v="2026-08-14T00:00:00"/>
    <s v="Friday"/>
    <s v="Future"/>
    <x v="7"/>
    <s v="Night"/>
    <x v="119"/>
    <x v="119"/>
    <n v="12"/>
    <x v="14"/>
    <x v="2"/>
  </r>
  <r>
    <s v="SCH01197"/>
    <d v="2026-08-14T00:00:00"/>
    <s v="Friday"/>
    <s v="Future"/>
    <x v="8"/>
    <s v="Day"/>
    <x v="118"/>
    <x v="118"/>
    <n v="12"/>
    <x v="17"/>
    <x v="2"/>
  </r>
  <r>
    <s v="SCH01198"/>
    <d v="2026-08-14T00:00:00"/>
    <s v="Friday"/>
    <s v="Future"/>
    <x v="8"/>
    <s v="Night"/>
    <x v="119"/>
    <x v="119"/>
    <n v="12"/>
    <x v="30"/>
    <x v="2"/>
  </r>
  <r>
    <s v="SCH01199"/>
    <d v="2026-08-14T00:00:00"/>
    <s v="Friday"/>
    <s v="Future"/>
    <x v="9"/>
    <s v="Day"/>
    <x v="118"/>
    <x v="118"/>
    <n v="12"/>
    <x v="32"/>
    <x v="2"/>
  </r>
  <r>
    <s v="SCH01200"/>
    <d v="2026-08-14T00:00:00"/>
    <s v="Friday"/>
    <s v="Future"/>
    <x v="9"/>
    <s v="Night"/>
    <x v="119"/>
    <x v="119"/>
    <n v="12"/>
    <x v="31"/>
    <x v="2"/>
  </r>
  <r>
    <s v="SCH01201"/>
    <d v="2026-08-15T00:00:00"/>
    <s v="Saturday"/>
    <s v="Future"/>
    <x v="0"/>
    <s v="Day"/>
    <x v="120"/>
    <x v="120"/>
    <n v="12"/>
    <x v="1"/>
    <x v="2"/>
  </r>
  <r>
    <s v="SCH01202"/>
    <d v="2026-08-15T00:00:00"/>
    <s v="Saturday"/>
    <s v="Future"/>
    <x v="0"/>
    <s v="Night"/>
    <x v="121"/>
    <x v="121"/>
    <n v="12"/>
    <x v="20"/>
    <x v="2"/>
  </r>
  <r>
    <s v="SCH01203"/>
    <d v="2026-08-15T00:00:00"/>
    <s v="Saturday"/>
    <s v="Future"/>
    <x v="1"/>
    <s v="Day"/>
    <x v="120"/>
    <x v="120"/>
    <n v="12"/>
    <x v="45"/>
    <x v="2"/>
  </r>
  <r>
    <s v="SCH01204"/>
    <d v="2026-08-15T00:00:00"/>
    <s v="Saturday"/>
    <s v="Future"/>
    <x v="1"/>
    <s v="Night"/>
    <x v="121"/>
    <x v="121"/>
    <n v="12"/>
    <x v="2"/>
    <x v="2"/>
  </r>
  <r>
    <s v="SCH01205"/>
    <d v="2026-08-15T00:00:00"/>
    <s v="Saturday"/>
    <s v="Future"/>
    <x v="2"/>
    <s v="Day"/>
    <x v="120"/>
    <x v="120"/>
    <n v="12"/>
    <x v="33"/>
    <x v="2"/>
  </r>
  <r>
    <s v="SCH01206"/>
    <d v="2026-08-15T00:00:00"/>
    <s v="Saturday"/>
    <s v="Future"/>
    <x v="2"/>
    <s v="Night"/>
    <x v="121"/>
    <x v="121"/>
    <n v="12"/>
    <x v="22"/>
    <x v="2"/>
  </r>
  <r>
    <s v="SCH01207"/>
    <d v="2026-08-15T00:00:00"/>
    <s v="Saturday"/>
    <s v="Future"/>
    <x v="3"/>
    <s v="Day"/>
    <x v="120"/>
    <x v="120"/>
    <n v="12"/>
    <x v="38"/>
    <x v="2"/>
  </r>
  <r>
    <s v="SCH01208"/>
    <d v="2026-08-15T00:00:00"/>
    <s v="Saturday"/>
    <s v="Future"/>
    <x v="3"/>
    <s v="Night"/>
    <x v="121"/>
    <x v="121"/>
    <n v="12"/>
    <x v="6"/>
    <x v="2"/>
  </r>
  <r>
    <s v="SCH01209"/>
    <d v="2026-08-15T00:00:00"/>
    <s v="Saturday"/>
    <s v="Future"/>
    <x v="4"/>
    <s v="Day"/>
    <x v="120"/>
    <x v="120"/>
    <n v="12"/>
    <x v="43"/>
    <x v="2"/>
  </r>
  <r>
    <s v="SCH01210"/>
    <d v="2026-08-15T00:00:00"/>
    <s v="Saturday"/>
    <s v="Future"/>
    <x v="4"/>
    <s v="Night"/>
    <x v="121"/>
    <x v="121"/>
    <n v="12"/>
    <x v="9"/>
    <x v="2"/>
  </r>
  <r>
    <s v="SCH01211"/>
    <d v="2026-08-15T00:00:00"/>
    <s v="Saturday"/>
    <s v="Future"/>
    <x v="5"/>
    <s v="Day"/>
    <x v="120"/>
    <x v="120"/>
    <n v="12"/>
    <x v="10"/>
    <x v="2"/>
  </r>
  <r>
    <s v="SCH01212"/>
    <d v="2026-08-15T00:00:00"/>
    <s v="Saturday"/>
    <s v="Future"/>
    <x v="5"/>
    <s v="Night"/>
    <x v="121"/>
    <x v="121"/>
    <n v="12"/>
    <x v="26"/>
    <x v="2"/>
  </r>
  <r>
    <s v="SCH01213"/>
    <d v="2026-08-15T00:00:00"/>
    <s v="Saturday"/>
    <s v="Future"/>
    <x v="6"/>
    <s v="Day"/>
    <x v="120"/>
    <x v="120"/>
    <n v="12"/>
    <x v="27"/>
    <x v="2"/>
  </r>
  <r>
    <s v="SCH01214"/>
    <d v="2026-08-15T00:00:00"/>
    <s v="Saturday"/>
    <s v="Future"/>
    <x v="6"/>
    <s v="Night"/>
    <x v="121"/>
    <x v="121"/>
    <n v="12"/>
    <x v="35"/>
    <x v="2"/>
  </r>
  <r>
    <s v="SCH01215"/>
    <d v="2026-08-15T00:00:00"/>
    <s v="Saturday"/>
    <s v="Future"/>
    <x v="7"/>
    <s v="Day"/>
    <x v="120"/>
    <x v="120"/>
    <n v="12"/>
    <x v="15"/>
    <x v="2"/>
  </r>
  <r>
    <s v="SCH01216"/>
    <d v="2026-08-15T00:00:00"/>
    <s v="Saturday"/>
    <s v="Future"/>
    <x v="7"/>
    <s v="Night"/>
    <x v="121"/>
    <x v="121"/>
    <n v="12"/>
    <x v="28"/>
    <x v="2"/>
  </r>
  <r>
    <s v="SCH01217"/>
    <d v="2026-08-15T00:00:00"/>
    <s v="Saturday"/>
    <s v="Future"/>
    <x v="8"/>
    <s v="Day"/>
    <x v="120"/>
    <x v="120"/>
    <n v="12"/>
    <x v="30"/>
    <x v="2"/>
  </r>
  <r>
    <s v="SCH01218"/>
    <d v="2026-08-15T00:00:00"/>
    <s v="Saturday"/>
    <s v="Future"/>
    <x v="8"/>
    <s v="Night"/>
    <x v="121"/>
    <x v="121"/>
    <n v="12"/>
    <x v="17"/>
    <x v="2"/>
  </r>
  <r>
    <s v="SCH01219"/>
    <d v="2026-08-15T00:00:00"/>
    <s v="Saturday"/>
    <s v="Future"/>
    <x v="9"/>
    <s v="Day"/>
    <x v="120"/>
    <x v="120"/>
    <n v="12"/>
    <x v="32"/>
    <x v="2"/>
  </r>
  <r>
    <s v="SCH01220"/>
    <d v="2026-08-15T00:00:00"/>
    <s v="Saturday"/>
    <s v="Future"/>
    <x v="9"/>
    <s v="Night"/>
    <x v="121"/>
    <x v="121"/>
    <n v="12"/>
    <x v="1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BF837F-C911-8943-89A3-9EA4A308B762}" name="PivotTable2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0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numFmtId="165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umFmtId="165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axis="axisRow" dataField="1" showAll="0" sortType="ascending">
      <items count="51">
        <item x="1"/>
        <item m="1" x="48"/>
        <item m="1" x="46"/>
        <item x="45"/>
        <item x="2"/>
        <item x="3"/>
        <item x="40"/>
        <item x="21"/>
        <item x="4"/>
        <item x="5"/>
        <item x="33"/>
        <item x="37"/>
        <item x="22"/>
        <item x="6"/>
        <item x="23"/>
        <item x="34"/>
        <item x="38"/>
        <item x="7"/>
        <item x="43"/>
        <item x="9"/>
        <item m="1" x="49"/>
        <item x="11"/>
        <item x="26"/>
        <item x="10"/>
        <item x="25"/>
        <item x="35"/>
        <item x="13"/>
        <item x="27"/>
        <item x="12"/>
        <item x="15"/>
        <item x="29"/>
        <item x="14"/>
        <item m="1" x="47"/>
        <item x="28"/>
        <item x="39"/>
        <item x="17"/>
        <item x="16"/>
        <item x="44"/>
        <item x="30"/>
        <item x="42"/>
        <item x="32"/>
        <item x="19"/>
        <item x="18"/>
        <item x="31"/>
        <item x="0"/>
        <item x="8"/>
        <item x="20"/>
        <item x="24"/>
        <item x="36"/>
        <item x="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47">
    <i>
      <x v="48"/>
    </i>
    <i>
      <x v="12"/>
    </i>
    <i>
      <x v="7"/>
    </i>
    <i>
      <x v="14"/>
    </i>
    <i>
      <x v="36"/>
    </i>
    <i>
      <x v="34"/>
    </i>
    <i>
      <x v="42"/>
    </i>
    <i>
      <x v="49"/>
    </i>
    <i>
      <x v="6"/>
    </i>
    <i>
      <x v="26"/>
    </i>
    <i>
      <x v="11"/>
    </i>
    <i>
      <x v="41"/>
    </i>
    <i>
      <x v="3"/>
    </i>
    <i>
      <x v="10"/>
    </i>
    <i>
      <x v="17"/>
    </i>
    <i>
      <x v="21"/>
    </i>
    <i>
      <x v="15"/>
    </i>
    <i>
      <x v="22"/>
    </i>
    <i>
      <x v="9"/>
    </i>
    <i>
      <x v="43"/>
    </i>
    <i>
      <x v="39"/>
    </i>
    <i>
      <x v="37"/>
    </i>
    <i>
      <x v="16"/>
    </i>
    <i>
      <x v="25"/>
    </i>
    <i>
      <x v="18"/>
    </i>
    <i>
      <x v="24"/>
    </i>
    <i>
      <x v="23"/>
    </i>
    <i>
      <x v="38"/>
    </i>
    <i>
      <x v="47"/>
    </i>
    <i>
      <x v="27"/>
    </i>
    <i>
      <x v="31"/>
    </i>
    <i>
      <x v="30"/>
    </i>
    <i>
      <x v="4"/>
    </i>
    <i>
      <x v="40"/>
    </i>
    <i>
      <x v="35"/>
    </i>
    <i>
      <x v="13"/>
    </i>
    <i>
      <x v="28"/>
    </i>
    <i>
      <x v="33"/>
    </i>
    <i>
      <x v="5"/>
    </i>
    <i>
      <x v="45"/>
    </i>
    <i>
      <x v="8"/>
    </i>
    <i>
      <x v="29"/>
    </i>
    <i>
      <x v="19"/>
    </i>
    <i>
      <x v="44"/>
    </i>
    <i>
      <x/>
    </i>
    <i>
      <x v="46"/>
    </i>
    <i t="grand">
      <x/>
    </i>
  </rowItems>
  <colItems count="1">
    <i/>
  </colItems>
  <dataFields count="1">
    <dataField name="Total Shifts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6D6B02-F3CF-F343-9BCF-090CE3B17761}" name="PivotTable3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5" firstHeaderRow="1" firstDataRow="2" firstDataCol="1"/>
  <pivotFields count="15">
    <pivotField showAll="0"/>
    <pivotField numFmtId="164" showAll="0"/>
    <pivotField showAll="0"/>
    <pivotField showAll="0"/>
    <pivotField axis="axisRow" showAll="0">
      <items count="11">
        <item x="1"/>
        <item x="0"/>
        <item x="5"/>
        <item x="8"/>
        <item x="9"/>
        <item x="2"/>
        <item x="7"/>
        <item x="4"/>
        <item x="3"/>
        <item x="6"/>
        <item t="default"/>
      </items>
    </pivotField>
    <pivotField showAll="0"/>
    <pivotField numFmtId="165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umFmtId="165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2"/>
  </colFields>
  <colItems count="4">
    <i>
      <x v="6"/>
    </i>
    <i>
      <x v="7"/>
    </i>
    <i>
      <x v="8"/>
    </i>
    <i t="grand">
      <x/>
    </i>
  </colItems>
  <dataFields count="1">
    <dataField name="Count of Provider ID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DCAFB-B345-1E4D-80DD-9E7331CC328D}" name="PivotTable4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chedule Status">
  <location ref="A3:B7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numFmtId="165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umFmtId="165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hifts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B154A-8779-4148-91BB-19C445CC0B9E}" name="PivotTable5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5" firstHeaderRow="1" firstDataRow="2" firstDataCol="1"/>
  <pivotFields count="13">
    <pivotField dataField="1" showAll="0"/>
    <pivotField showAll="0"/>
    <pivotField axis="axisRow" showAll="0">
      <items count="11">
        <item x="1"/>
        <item x="0"/>
        <item x="5"/>
        <item x="8"/>
        <item x="9"/>
        <item x="2"/>
        <item x="7"/>
        <item x="4"/>
        <item x="3"/>
        <item x="6"/>
        <item t="default"/>
      </items>
    </pivotField>
    <pivotField showAll="0"/>
    <pivotField axis="axisCol" showAll="0">
      <items count="4">
        <item x="2"/>
        <item x="1"/>
        <item x="0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Provi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7F9D0-2330-B540-9787-E0E09CE7ACA9}" name="tblProviders" displayName="tblProviders" ref="A1:M51" totalsRowShown="0" headerRowDxfId="4">
  <autoFilter ref="A1:M51" xr:uid="{F267F9D0-2330-B540-9787-E0E09CE7ACA9}"/>
  <tableColumns count="13">
    <tableColumn id="1" xr3:uid="{7DDE158A-CF71-E242-8290-0F9B865903AA}" name="Provider ID"/>
    <tableColumn id="2" xr3:uid="{D62A54A3-3AF0-2247-B0A1-FE5054C26F04}" name="Provider Name"/>
    <tableColumn id="3" xr3:uid="{43BEAF28-9CDB-6D4D-8C05-415E3EF7D9B2}" name="Primary Department"/>
    <tableColumn id="4" xr3:uid="{19C49FB4-6FB0-944F-B1A9-C43352DD64DA}" name="Specialty"/>
    <tableColumn id="5" xr3:uid="{A00A949B-D516-694F-A178-9088E9B5566E}" name="Provider Level"/>
    <tableColumn id="6" xr3:uid="{0CB24EDE-EE51-514E-A76B-BBFCD1B4EC49}" name="Hire Date" dataDxfId="3"/>
    <tableColumn id="7" xr3:uid="{92240121-791E-3546-BC4D-CCDC9E9F14EB}" name="Years of Experience"/>
    <tableColumn id="8" xr3:uid="{58229820-2799-2547-A1E1-5D70CB81ED9E}" name="Employment Type"/>
    <tableColumn id="9" xr3:uid="{54C24AB1-C8AE-2E46-BAAF-82BB6B8AF1F0}" name="Shift Preference"/>
    <tableColumn id="10" xr3:uid="{0FEF5C00-7B96-E348-8149-20575F576CD0}" name="Status"/>
    <tableColumn id="11" xr3:uid="{5C038C80-F628-6946-BA2A-C2CF0297CA44}" name="Phone Number"/>
    <tableColumn id="12" xr3:uid="{6E2C3182-EBAD-4C44-9BE9-562E8B7887FA}" name="Extension"/>
    <tableColumn id="13" xr3:uid="{F85804E9-1B83-F948-926F-727ACFB104C6}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93F80B-694D-1F4A-BC3F-1EDEB66629A8}" name="tblSchedule" displayName="tblSchedule" ref="A1:K1221" totalsRowShown="0">
  <autoFilter ref="A1:K1221" xr:uid="{3A93F80B-694D-1F4A-BC3F-1EDEB66629A8}"/>
  <tableColumns count="11">
    <tableColumn id="1" xr3:uid="{DD4DEE25-3D38-D94E-B17B-99A932838433}" name="Schedule ID"/>
    <tableColumn id="2" xr3:uid="{3CFCA8DA-1501-0B42-B2AD-DB0D6D514AB1}" name="Date" dataDxfId="2"/>
    <tableColumn id="3" xr3:uid="{03795B1B-F1F5-6F48-B867-236FC63F8FDD}" name="Day of Week"/>
    <tableColumn id="4" xr3:uid="{3704084F-71A9-514A-8FD0-07F95F17F738}" name="Time Period"/>
    <tableColumn id="5" xr3:uid="{7A9FA027-9471-9448-95CF-F6AD84C357F1}" name="Department"/>
    <tableColumn id="6" xr3:uid="{59E4BE97-0D2B-9F40-8EE4-E34A5DD1D260}" name="Shift"/>
    <tableColumn id="7" xr3:uid="{FB42458C-3C3D-7540-BE51-A8949D3E6C43}" name="Start Date/Time" dataDxfId="1"/>
    <tableColumn id="8" xr3:uid="{81B829B4-63A9-9944-B01F-3935C0C024D2}" name="End Date/Time" dataDxfId="0"/>
    <tableColumn id="9" xr3:uid="{18386C9F-429F-AF40-B257-7338AF8C75DB}" name="Shift Length"/>
    <tableColumn id="10" xr3:uid="{F6A6029F-1846-424F-9B7D-124D84E123FB}" name="Provider ID"/>
    <tableColumn id="11" xr3:uid="{8C600DC1-2BDF-FF43-AFF4-414A64A91E66}" name="Schedul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workbookViewId="0">
      <pane ySplit="1" topLeftCell="A2" activePane="bottomLeft" state="frozen"/>
      <selection pane="bottomLeft" activeCell="D16" sqref="D16"/>
    </sheetView>
  </sheetViews>
  <sheetFormatPr baseColWidth="10" defaultColWidth="8.83203125" defaultRowHeight="15" x14ac:dyDescent="0.2"/>
  <cols>
    <col min="1" max="1" width="14.6640625" bestFit="1" customWidth="1"/>
    <col min="2" max="2" width="20" bestFit="1" customWidth="1"/>
    <col min="3" max="3" width="24" bestFit="1" customWidth="1"/>
    <col min="4" max="4" width="19.6640625" bestFit="1" customWidth="1"/>
    <col min="5" max="5" width="17.5" bestFit="1" customWidth="1"/>
    <col min="6" max="6" width="12.83203125" bestFit="1" customWidth="1"/>
    <col min="7" max="7" width="22.83203125" bestFit="1" customWidth="1"/>
    <col min="8" max="8" width="21.6640625" bestFit="1" customWidth="1"/>
    <col min="9" max="9" width="19.33203125" bestFit="1" customWidth="1"/>
    <col min="10" max="10" width="10" bestFit="1" customWidth="1"/>
    <col min="11" max="11" width="21.83203125" bestFit="1" customWidth="1"/>
    <col min="12" max="12" width="13.33203125" bestFit="1" customWidth="1"/>
    <col min="13" max="13" width="27.33203125" bestFit="1" customWidth="1"/>
  </cols>
  <sheetData>
    <row r="1" spans="1:13" ht="22" customHeigh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</row>
    <row r="2" spans="1:13" x14ac:dyDescent="0.2">
      <c r="A2" t="s">
        <v>13</v>
      </c>
      <c r="B2" t="s">
        <v>1346</v>
      </c>
      <c r="C2" t="s">
        <v>32</v>
      </c>
      <c r="D2" t="s">
        <v>33</v>
      </c>
      <c r="E2" t="s">
        <v>21</v>
      </c>
      <c r="F2" s="1">
        <v>45547</v>
      </c>
      <c r="G2">
        <v>2</v>
      </c>
      <c r="H2" t="s">
        <v>22</v>
      </c>
      <c r="I2" t="s">
        <v>30</v>
      </c>
      <c r="J2" t="s">
        <v>18</v>
      </c>
      <c r="K2" t="s">
        <v>1347</v>
      </c>
      <c r="L2">
        <v>9143</v>
      </c>
      <c r="M2" t="s">
        <v>1348</v>
      </c>
    </row>
    <row r="3" spans="1:13" x14ac:dyDescent="0.2">
      <c r="A3" t="s">
        <v>19</v>
      </c>
      <c r="B3" t="s">
        <v>1349</v>
      </c>
      <c r="C3" t="s">
        <v>32</v>
      </c>
      <c r="D3" t="s">
        <v>33</v>
      </c>
      <c r="E3" t="s">
        <v>21</v>
      </c>
      <c r="F3" s="1">
        <v>45534</v>
      </c>
      <c r="G3">
        <v>2</v>
      </c>
      <c r="H3" t="s">
        <v>16</v>
      </c>
      <c r="I3" t="s">
        <v>23</v>
      </c>
      <c r="J3" t="s">
        <v>18</v>
      </c>
      <c r="K3" t="s">
        <v>1350</v>
      </c>
      <c r="L3">
        <v>2222</v>
      </c>
      <c r="M3" t="s">
        <v>1351</v>
      </c>
    </row>
    <row r="4" spans="1:13" x14ac:dyDescent="0.2">
      <c r="A4" t="s">
        <v>25</v>
      </c>
      <c r="B4" t="s">
        <v>1352</v>
      </c>
      <c r="C4" t="s">
        <v>32</v>
      </c>
      <c r="D4" t="s">
        <v>33</v>
      </c>
      <c r="E4" t="s">
        <v>21</v>
      </c>
      <c r="F4" s="1">
        <v>44402</v>
      </c>
      <c r="G4">
        <v>5</v>
      </c>
      <c r="H4" t="s">
        <v>27</v>
      </c>
      <c r="I4" t="s">
        <v>17</v>
      </c>
      <c r="J4" t="s">
        <v>34</v>
      </c>
      <c r="K4" t="s">
        <v>1353</v>
      </c>
      <c r="L4">
        <v>5343</v>
      </c>
      <c r="M4" t="s">
        <v>1354</v>
      </c>
    </row>
    <row r="5" spans="1:13" x14ac:dyDescent="0.2">
      <c r="A5" t="s">
        <v>28</v>
      </c>
      <c r="B5" t="s">
        <v>1355</v>
      </c>
      <c r="C5" t="s">
        <v>32</v>
      </c>
      <c r="D5" t="s">
        <v>33</v>
      </c>
      <c r="E5" t="s">
        <v>15</v>
      </c>
      <c r="F5" s="1">
        <v>44409</v>
      </c>
      <c r="G5">
        <v>5</v>
      </c>
      <c r="H5" t="s">
        <v>27</v>
      </c>
      <c r="I5" t="s">
        <v>17</v>
      </c>
      <c r="J5" t="s">
        <v>24</v>
      </c>
      <c r="K5" t="s">
        <v>1356</v>
      </c>
      <c r="L5">
        <v>3178</v>
      </c>
      <c r="M5" t="s">
        <v>1357</v>
      </c>
    </row>
    <row r="6" spans="1:13" x14ac:dyDescent="0.2">
      <c r="A6" t="s">
        <v>31</v>
      </c>
      <c r="B6" t="s">
        <v>1358</v>
      </c>
      <c r="C6" t="s">
        <v>32</v>
      </c>
      <c r="D6" t="s">
        <v>33</v>
      </c>
      <c r="E6" t="s">
        <v>26</v>
      </c>
      <c r="F6" s="1">
        <v>43262</v>
      </c>
      <c r="G6">
        <v>9</v>
      </c>
      <c r="H6" t="s">
        <v>16</v>
      </c>
      <c r="I6" t="s">
        <v>30</v>
      </c>
      <c r="J6" t="s">
        <v>18</v>
      </c>
      <c r="K6" t="s">
        <v>1359</v>
      </c>
      <c r="L6">
        <v>2889</v>
      </c>
      <c r="M6" t="s">
        <v>1360</v>
      </c>
    </row>
    <row r="7" spans="1:13" x14ac:dyDescent="0.2">
      <c r="A7" t="s">
        <v>35</v>
      </c>
      <c r="B7" t="s">
        <v>1361</v>
      </c>
      <c r="C7" t="s">
        <v>48</v>
      </c>
      <c r="D7" t="s">
        <v>48</v>
      </c>
      <c r="E7" t="s">
        <v>21</v>
      </c>
      <c r="F7" s="1">
        <v>44748</v>
      </c>
      <c r="G7">
        <v>5</v>
      </c>
      <c r="H7" t="s">
        <v>27</v>
      </c>
      <c r="I7" t="s">
        <v>17</v>
      </c>
      <c r="J7" t="s">
        <v>18</v>
      </c>
      <c r="K7" t="s">
        <v>1362</v>
      </c>
      <c r="L7">
        <v>1459</v>
      </c>
      <c r="M7" t="s">
        <v>1363</v>
      </c>
    </row>
    <row r="8" spans="1:13" x14ac:dyDescent="0.2">
      <c r="A8" t="s">
        <v>37</v>
      </c>
      <c r="B8" t="s">
        <v>1364</v>
      </c>
      <c r="C8" t="s">
        <v>48</v>
      </c>
      <c r="D8" t="s">
        <v>48</v>
      </c>
      <c r="E8" t="s">
        <v>21</v>
      </c>
      <c r="F8" s="1">
        <v>45277</v>
      </c>
      <c r="G8">
        <v>3</v>
      </c>
      <c r="H8" t="s">
        <v>27</v>
      </c>
      <c r="I8" t="s">
        <v>30</v>
      </c>
      <c r="J8" t="s">
        <v>18</v>
      </c>
      <c r="K8" t="s">
        <v>1365</v>
      </c>
      <c r="L8">
        <v>4673</v>
      </c>
      <c r="M8" t="s">
        <v>1366</v>
      </c>
    </row>
    <row r="9" spans="1:13" x14ac:dyDescent="0.2">
      <c r="A9" t="s">
        <v>40</v>
      </c>
      <c r="B9" t="s">
        <v>1367</v>
      </c>
      <c r="C9" t="s">
        <v>48</v>
      </c>
      <c r="D9" t="s">
        <v>48</v>
      </c>
      <c r="E9" t="s">
        <v>21</v>
      </c>
      <c r="F9" s="1">
        <v>45124</v>
      </c>
      <c r="G9">
        <v>3</v>
      </c>
      <c r="H9" t="s">
        <v>27</v>
      </c>
      <c r="I9" t="s">
        <v>30</v>
      </c>
      <c r="J9" t="s">
        <v>18</v>
      </c>
      <c r="K9" t="s">
        <v>1368</v>
      </c>
      <c r="L9">
        <v>2455</v>
      </c>
      <c r="M9" t="s">
        <v>1369</v>
      </c>
    </row>
    <row r="10" spans="1:13" x14ac:dyDescent="0.2">
      <c r="A10" t="s">
        <v>41</v>
      </c>
      <c r="B10" t="s">
        <v>1370</v>
      </c>
      <c r="C10" t="s">
        <v>48</v>
      </c>
      <c r="D10" t="s">
        <v>48</v>
      </c>
      <c r="E10" t="s">
        <v>15</v>
      </c>
      <c r="F10" s="1">
        <v>43432</v>
      </c>
      <c r="G10">
        <v>8</v>
      </c>
      <c r="H10" t="s">
        <v>27</v>
      </c>
      <c r="I10" t="s">
        <v>23</v>
      </c>
      <c r="J10" t="s">
        <v>18</v>
      </c>
      <c r="K10" t="s">
        <v>1371</v>
      </c>
      <c r="L10">
        <v>8718</v>
      </c>
      <c r="M10" t="s">
        <v>1372</v>
      </c>
    </row>
    <row r="11" spans="1:13" x14ac:dyDescent="0.2">
      <c r="A11" t="s">
        <v>42</v>
      </c>
      <c r="B11" t="s">
        <v>1373</v>
      </c>
      <c r="C11" t="s">
        <v>48</v>
      </c>
      <c r="D11" t="s">
        <v>48</v>
      </c>
      <c r="E11" t="s">
        <v>26</v>
      </c>
      <c r="F11" s="1">
        <v>40996</v>
      </c>
      <c r="G11">
        <v>15</v>
      </c>
      <c r="H11" t="s">
        <v>27</v>
      </c>
      <c r="I11" t="s">
        <v>30</v>
      </c>
      <c r="J11" t="s">
        <v>18</v>
      </c>
      <c r="K11" t="s">
        <v>1374</v>
      </c>
      <c r="L11">
        <v>9333</v>
      </c>
      <c r="M11" t="s">
        <v>1375</v>
      </c>
    </row>
    <row r="12" spans="1:13" x14ac:dyDescent="0.2">
      <c r="A12" t="s">
        <v>43</v>
      </c>
      <c r="B12" t="s">
        <v>1376</v>
      </c>
      <c r="C12" t="s">
        <v>36</v>
      </c>
      <c r="D12" t="s">
        <v>36</v>
      </c>
      <c r="E12" t="s">
        <v>21</v>
      </c>
      <c r="F12" s="1">
        <v>45449</v>
      </c>
      <c r="G12">
        <v>3</v>
      </c>
      <c r="H12" t="s">
        <v>27</v>
      </c>
      <c r="I12" t="s">
        <v>30</v>
      </c>
      <c r="J12" t="s">
        <v>18</v>
      </c>
      <c r="K12" t="s">
        <v>1377</v>
      </c>
      <c r="L12">
        <v>3171</v>
      </c>
      <c r="M12" t="s">
        <v>1378</v>
      </c>
    </row>
    <row r="13" spans="1:13" x14ac:dyDescent="0.2">
      <c r="A13" t="s">
        <v>44</v>
      </c>
      <c r="B13" t="s">
        <v>1379</v>
      </c>
      <c r="C13" t="s">
        <v>36</v>
      </c>
      <c r="D13" t="s">
        <v>36</v>
      </c>
      <c r="E13" t="s">
        <v>21</v>
      </c>
      <c r="F13" s="1">
        <v>44668</v>
      </c>
      <c r="G13">
        <v>5</v>
      </c>
      <c r="H13" t="s">
        <v>22</v>
      </c>
      <c r="I13" t="s">
        <v>23</v>
      </c>
      <c r="J13" t="s">
        <v>18</v>
      </c>
      <c r="K13" t="s">
        <v>1380</v>
      </c>
      <c r="L13">
        <v>3250</v>
      </c>
      <c r="M13" t="s">
        <v>1381</v>
      </c>
    </row>
    <row r="14" spans="1:13" x14ac:dyDescent="0.2">
      <c r="A14" t="s">
        <v>45</v>
      </c>
      <c r="B14" t="s">
        <v>1382</v>
      </c>
      <c r="C14" t="s">
        <v>36</v>
      </c>
      <c r="D14" t="s">
        <v>36</v>
      </c>
      <c r="E14" t="s">
        <v>21</v>
      </c>
      <c r="F14" s="1">
        <v>45815</v>
      </c>
      <c r="G14">
        <v>2</v>
      </c>
      <c r="H14" t="s">
        <v>27</v>
      </c>
      <c r="I14" t="s">
        <v>23</v>
      </c>
      <c r="J14" t="s">
        <v>18</v>
      </c>
      <c r="K14" t="s">
        <v>1383</v>
      </c>
      <c r="L14">
        <v>9693</v>
      </c>
      <c r="M14" t="s">
        <v>1384</v>
      </c>
    </row>
    <row r="15" spans="1:13" x14ac:dyDescent="0.2">
      <c r="A15" t="s">
        <v>46</v>
      </c>
      <c r="B15" t="s">
        <v>1385</v>
      </c>
      <c r="C15" t="s">
        <v>36</v>
      </c>
      <c r="D15" t="s">
        <v>36</v>
      </c>
      <c r="E15" t="s">
        <v>15</v>
      </c>
      <c r="F15" s="1">
        <v>44322</v>
      </c>
      <c r="G15">
        <v>6</v>
      </c>
      <c r="H15" t="s">
        <v>27</v>
      </c>
      <c r="I15" t="s">
        <v>23</v>
      </c>
      <c r="J15" t="s">
        <v>18</v>
      </c>
      <c r="K15" t="s">
        <v>1386</v>
      </c>
      <c r="L15">
        <v>5292</v>
      </c>
      <c r="M15" t="s">
        <v>1387</v>
      </c>
    </row>
    <row r="16" spans="1:13" x14ac:dyDescent="0.2">
      <c r="A16" t="s">
        <v>47</v>
      </c>
      <c r="B16" t="s">
        <v>1388</v>
      </c>
      <c r="C16" t="s">
        <v>36</v>
      </c>
      <c r="D16" t="s">
        <v>36</v>
      </c>
      <c r="E16" t="s">
        <v>26</v>
      </c>
      <c r="F16" s="1">
        <v>37287</v>
      </c>
      <c r="G16">
        <v>25</v>
      </c>
      <c r="H16" t="s">
        <v>22</v>
      </c>
      <c r="I16" t="s">
        <v>17</v>
      </c>
      <c r="J16" t="s">
        <v>18</v>
      </c>
      <c r="K16" t="s">
        <v>1389</v>
      </c>
      <c r="L16">
        <v>3982</v>
      </c>
      <c r="M16" t="s">
        <v>1390</v>
      </c>
    </row>
    <row r="17" spans="1:13" x14ac:dyDescent="0.2">
      <c r="A17" t="s">
        <v>49</v>
      </c>
      <c r="B17" t="s">
        <v>1391</v>
      </c>
      <c r="C17" t="s">
        <v>14</v>
      </c>
      <c r="D17" t="s">
        <v>14</v>
      </c>
      <c r="E17" t="s">
        <v>21</v>
      </c>
      <c r="F17" s="1">
        <v>44884</v>
      </c>
      <c r="G17">
        <v>4</v>
      </c>
      <c r="H17" t="s">
        <v>16</v>
      </c>
      <c r="I17" t="s">
        <v>23</v>
      </c>
      <c r="J17" t="s">
        <v>18</v>
      </c>
      <c r="K17" t="s">
        <v>1392</v>
      </c>
      <c r="L17">
        <v>1225</v>
      </c>
      <c r="M17" t="s">
        <v>1393</v>
      </c>
    </row>
    <row r="18" spans="1:13" x14ac:dyDescent="0.2">
      <c r="A18" t="s">
        <v>51</v>
      </c>
      <c r="B18" t="s">
        <v>1394</v>
      </c>
      <c r="C18" t="s">
        <v>14</v>
      </c>
      <c r="D18" t="s">
        <v>14</v>
      </c>
      <c r="E18" t="s">
        <v>21</v>
      </c>
      <c r="F18" s="1">
        <v>45735</v>
      </c>
      <c r="G18">
        <v>2</v>
      </c>
      <c r="H18" t="s">
        <v>27</v>
      </c>
      <c r="I18" t="s">
        <v>23</v>
      </c>
      <c r="J18" t="s">
        <v>18</v>
      </c>
      <c r="K18" t="s">
        <v>1395</v>
      </c>
      <c r="L18">
        <v>2338</v>
      </c>
      <c r="M18" t="s">
        <v>1396</v>
      </c>
    </row>
    <row r="19" spans="1:13" x14ac:dyDescent="0.2">
      <c r="A19" t="s">
        <v>52</v>
      </c>
      <c r="B19" t="s">
        <v>1397</v>
      </c>
      <c r="C19" t="s">
        <v>14</v>
      </c>
      <c r="D19" t="s">
        <v>14</v>
      </c>
      <c r="E19" t="s">
        <v>21</v>
      </c>
      <c r="F19" s="1">
        <v>46044</v>
      </c>
      <c r="G19">
        <v>1</v>
      </c>
      <c r="H19" t="s">
        <v>22</v>
      </c>
      <c r="I19" t="s">
        <v>17</v>
      </c>
      <c r="J19" t="s">
        <v>18</v>
      </c>
      <c r="K19" t="s">
        <v>1398</v>
      </c>
      <c r="L19">
        <v>9037</v>
      </c>
      <c r="M19" t="s">
        <v>1399</v>
      </c>
    </row>
    <row r="20" spans="1:13" x14ac:dyDescent="0.2">
      <c r="A20" t="s">
        <v>53</v>
      </c>
      <c r="B20" t="s">
        <v>1400</v>
      </c>
      <c r="C20" t="s">
        <v>14</v>
      </c>
      <c r="D20" t="s">
        <v>14</v>
      </c>
      <c r="E20" t="s">
        <v>15</v>
      </c>
      <c r="F20" s="1">
        <v>43355</v>
      </c>
      <c r="G20">
        <v>8</v>
      </c>
      <c r="H20" t="s">
        <v>27</v>
      </c>
      <c r="I20" t="s">
        <v>17</v>
      </c>
      <c r="J20" t="s">
        <v>18</v>
      </c>
      <c r="K20" t="s">
        <v>1401</v>
      </c>
      <c r="L20">
        <v>8914</v>
      </c>
      <c r="M20" t="s">
        <v>1402</v>
      </c>
    </row>
    <row r="21" spans="1:13" x14ac:dyDescent="0.2">
      <c r="A21" t="s">
        <v>54</v>
      </c>
      <c r="B21" t="s">
        <v>1403</v>
      </c>
      <c r="C21" t="s">
        <v>14</v>
      </c>
      <c r="D21" t="s">
        <v>14</v>
      </c>
      <c r="E21" t="s">
        <v>26</v>
      </c>
      <c r="F21" s="1">
        <v>38173</v>
      </c>
      <c r="G21">
        <v>23</v>
      </c>
      <c r="H21" t="s">
        <v>27</v>
      </c>
      <c r="I21" t="s">
        <v>23</v>
      </c>
      <c r="J21" t="s">
        <v>18</v>
      </c>
      <c r="K21" t="s">
        <v>1404</v>
      </c>
      <c r="L21">
        <v>6630</v>
      </c>
      <c r="M21" t="s">
        <v>1405</v>
      </c>
    </row>
    <row r="22" spans="1:13" x14ac:dyDescent="0.2">
      <c r="A22" t="s">
        <v>55</v>
      </c>
      <c r="B22" t="s">
        <v>1406</v>
      </c>
      <c r="C22" t="s">
        <v>38</v>
      </c>
      <c r="D22" t="s">
        <v>39</v>
      </c>
      <c r="E22" t="s">
        <v>21</v>
      </c>
      <c r="F22" s="1">
        <v>44821</v>
      </c>
      <c r="G22">
        <v>4</v>
      </c>
      <c r="H22" t="s">
        <v>16</v>
      </c>
      <c r="I22" t="s">
        <v>23</v>
      </c>
      <c r="J22" t="s">
        <v>18</v>
      </c>
      <c r="K22" t="s">
        <v>1407</v>
      </c>
      <c r="L22">
        <v>6789</v>
      </c>
      <c r="M22" t="s">
        <v>1408</v>
      </c>
    </row>
    <row r="23" spans="1:13" x14ac:dyDescent="0.2">
      <c r="A23" t="s">
        <v>58</v>
      </c>
      <c r="B23" t="s">
        <v>1409</v>
      </c>
      <c r="C23" t="s">
        <v>38</v>
      </c>
      <c r="D23" t="s">
        <v>39</v>
      </c>
      <c r="E23" t="s">
        <v>21</v>
      </c>
      <c r="F23" s="1">
        <v>44597</v>
      </c>
      <c r="G23">
        <v>5</v>
      </c>
      <c r="H23" t="s">
        <v>27</v>
      </c>
      <c r="I23" t="s">
        <v>23</v>
      </c>
      <c r="J23" t="s">
        <v>18</v>
      </c>
      <c r="K23" t="s">
        <v>1410</v>
      </c>
      <c r="L23">
        <v>3268</v>
      </c>
      <c r="M23" t="s">
        <v>1411</v>
      </c>
    </row>
    <row r="24" spans="1:13" x14ac:dyDescent="0.2">
      <c r="A24" t="s">
        <v>59</v>
      </c>
      <c r="B24" t="s">
        <v>1412</v>
      </c>
      <c r="C24" t="s">
        <v>38</v>
      </c>
      <c r="D24" t="s">
        <v>39</v>
      </c>
      <c r="E24" t="s">
        <v>21</v>
      </c>
      <c r="F24" s="1">
        <v>45558</v>
      </c>
      <c r="G24">
        <v>2</v>
      </c>
      <c r="H24" t="s">
        <v>27</v>
      </c>
      <c r="I24" t="s">
        <v>30</v>
      </c>
      <c r="J24" t="s">
        <v>18</v>
      </c>
      <c r="K24" t="s">
        <v>1413</v>
      </c>
      <c r="L24">
        <v>1471</v>
      </c>
      <c r="M24" t="s">
        <v>1414</v>
      </c>
    </row>
    <row r="25" spans="1:13" x14ac:dyDescent="0.2">
      <c r="A25" t="s">
        <v>60</v>
      </c>
      <c r="B25" t="s">
        <v>1415</v>
      </c>
      <c r="C25" t="s">
        <v>38</v>
      </c>
      <c r="D25" t="s">
        <v>39</v>
      </c>
      <c r="E25" t="s">
        <v>15</v>
      </c>
      <c r="F25" s="1">
        <v>44028</v>
      </c>
      <c r="G25">
        <v>6</v>
      </c>
      <c r="H25" t="s">
        <v>22</v>
      </c>
      <c r="I25" t="s">
        <v>23</v>
      </c>
      <c r="J25" t="s">
        <v>34</v>
      </c>
      <c r="K25" t="s">
        <v>1416</v>
      </c>
      <c r="L25">
        <v>5421</v>
      </c>
      <c r="M25" t="s">
        <v>1417</v>
      </c>
    </row>
    <row r="26" spans="1:13" x14ac:dyDescent="0.2">
      <c r="A26" t="s">
        <v>61</v>
      </c>
      <c r="B26" t="s">
        <v>1418</v>
      </c>
      <c r="C26" t="s">
        <v>38</v>
      </c>
      <c r="D26" t="s">
        <v>39</v>
      </c>
      <c r="E26" t="s">
        <v>26</v>
      </c>
      <c r="F26" s="1">
        <v>41981</v>
      </c>
      <c r="G26">
        <v>12</v>
      </c>
      <c r="H26" t="s">
        <v>22</v>
      </c>
      <c r="I26" t="s">
        <v>30</v>
      </c>
      <c r="J26" t="s">
        <v>18</v>
      </c>
      <c r="K26" t="s">
        <v>1419</v>
      </c>
      <c r="L26">
        <v>9424</v>
      </c>
      <c r="M26" t="s">
        <v>1420</v>
      </c>
    </row>
    <row r="27" spans="1:13" x14ac:dyDescent="0.2">
      <c r="A27" t="s">
        <v>62</v>
      </c>
      <c r="B27" t="s">
        <v>1421</v>
      </c>
      <c r="C27" t="s">
        <v>29</v>
      </c>
      <c r="D27" t="s">
        <v>29</v>
      </c>
      <c r="E27" t="s">
        <v>21</v>
      </c>
      <c r="F27" s="1">
        <v>46184</v>
      </c>
      <c r="G27">
        <v>1</v>
      </c>
      <c r="H27" t="s">
        <v>22</v>
      </c>
      <c r="I27" t="s">
        <v>30</v>
      </c>
      <c r="J27" t="s">
        <v>18</v>
      </c>
      <c r="K27" t="s">
        <v>1422</v>
      </c>
      <c r="L27">
        <v>9390</v>
      </c>
      <c r="M27" t="s">
        <v>1423</v>
      </c>
    </row>
    <row r="28" spans="1:13" x14ac:dyDescent="0.2">
      <c r="A28" t="s">
        <v>63</v>
      </c>
      <c r="B28" t="s">
        <v>1424</v>
      </c>
      <c r="C28" t="s">
        <v>29</v>
      </c>
      <c r="D28" t="s">
        <v>29</v>
      </c>
      <c r="E28" t="s">
        <v>21</v>
      </c>
      <c r="F28" s="1">
        <v>45581</v>
      </c>
      <c r="G28">
        <v>2</v>
      </c>
      <c r="H28" t="s">
        <v>27</v>
      </c>
      <c r="I28" t="s">
        <v>23</v>
      </c>
      <c r="J28" t="s">
        <v>18</v>
      </c>
      <c r="K28" t="s">
        <v>1425</v>
      </c>
      <c r="L28">
        <v>5739</v>
      </c>
      <c r="M28" t="s">
        <v>1426</v>
      </c>
    </row>
    <row r="29" spans="1:13" x14ac:dyDescent="0.2">
      <c r="A29" t="s">
        <v>64</v>
      </c>
      <c r="B29" t="s">
        <v>1427</v>
      </c>
      <c r="C29" t="s">
        <v>29</v>
      </c>
      <c r="D29" t="s">
        <v>29</v>
      </c>
      <c r="E29" t="s">
        <v>21</v>
      </c>
      <c r="F29" s="1">
        <v>44673</v>
      </c>
      <c r="G29">
        <v>5</v>
      </c>
      <c r="H29" t="s">
        <v>22</v>
      </c>
      <c r="I29" t="s">
        <v>17</v>
      </c>
      <c r="J29" t="s">
        <v>18</v>
      </c>
      <c r="K29" t="s">
        <v>1428</v>
      </c>
      <c r="L29">
        <v>7491</v>
      </c>
      <c r="M29" t="s">
        <v>1429</v>
      </c>
    </row>
    <row r="30" spans="1:13" x14ac:dyDescent="0.2">
      <c r="A30" t="s">
        <v>65</v>
      </c>
      <c r="B30" t="s">
        <v>1430</v>
      </c>
      <c r="C30" t="s">
        <v>29</v>
      </c>
      <c r="D30" t="s">
        <v>29</v>
      </c>
      <c r="E30" t="s">
        <v>15</v>
      </c>
      <c r="F30" s="1">
        <v>44182</v>
      </c>
      <c r="G30">
        <v>6</v>
      </c>
      <c r="H30" t="s">
        <v>22</v>
      </c>
      <c r="I30" t="s">
        <v>17</v>
      </c>
      <c r="J30" t="s">
        <v>18</v>
      </c>
      <c r="K30" t="s">
        <v>1431</v>
      </c>
      <c r="L30">
        <v>9120</v>
      </c>
      <c r="M30" t="s">
        <v>1432</v>
      </c>
    </row>
    <row r="31" spans="1:13" x14ac:dyDescent="0.2">
      <c r="A31" t="s">
        <v>66</v>
      </c>
      <c r="B31" t="s">
        <v>1433</v>
      </c>
      <c r="C31" t="s">
        <v>29</v>
      </c>
      <c r="D31" t="s">
        <v>29</v>
      </c>
      <c r="E31" t="s">
        <v>26</v>
      </c>
      <c r="F31" s="1">
        <v>43034</v>
      </c>
      <c r="G31">
        <v>9</v>
      </c>
      <c r="H31" t="s">
        <v>22</v>
      </c>
      <c r="I31" t="s">
        <v>30</v>
      </c>
      <c r="J31" t="s">
        <v>18</v>
      </c>
      <c r="K31" t="s">
        <v>1434</v>
      </c>
      <c r="L31">
        <v>1233</v>
      </c>
      <c r="M31" t="s">
        <v>1435</v>
      </c>
    </row>
    <row r="32" spans="1:13" x14ac:dyDescent="0.2">
      <c r="A32" t="s">
        <v>67</v>
      </c>
      <c r="B32" t="s">
        <v>1436</v>
      </c>
      <c r="C32" t="s">
        <v>20</v>
      </c>
      <c r="D32" t="s">
        <v>20</v>
      </c>
      <c r="E32" t="s">
        <v>21</v>
      </c>
      <c r="F32" s="1">
        <v>44908</v>
      </c>
      <c r="G32">
        <v>4</v>
      </c>
      <c r="H32" t="s">
        <v>22</v>
      </c>
      <c r="I32" t="s">
        <v>30</v>
      </c>
      <c r="J32" t="s">
        <v>18</v>
      </c>
      <c r="K32" t="s">
        <v>1437</v>
      </c>
      <c r="L32">
        <v>2320</v>
      </c>
      <c r="M32" t="s">
        <v>1438</v>
      </c>
    </row>
    <row r="33" spans="1:13" x14ac:dyDescent="0.2">
      <c r="A33" t="s">
        <v>68</v>
      </c>
      <c r="B33" t="s">
        <v>1439</v>
      </c>
      <c r="C33" t="s">
        <v>20</v>
      </c>
      <c r="D33" t="s">
        <v>20</v>
      </c>
      <c r="E33" t="s">
        <v>21</v>
      </c>
      <c r="F33" s="1">
        <v>44964</v>
      </c>
      <c r="G33">
        <v>4</v>
      </c>
      <c r="H33" t="s">
        <v>22</v>
      </c>
      <c r="I33" t="s">
        <v>30</v>
      </c>
      <c r="J33" t="s">
        <v>18</v>
      </c>
      <c r="K33" t="s">
        <v>1440</v>
      </c>
      <c r="L33">
        <v>9213</v>
      </c>
      <c r="M33" t="s">
        <v>1441</v>
      </c>
    </row>
    <row r="34" spans="1:13" x14ac:dyDescent="0.2">
      <c r="A34" t="s">
        <v>69</v>
      </c>
      <c r="B34" t="s">
        <v>1442</v>
      </c>
      <c r="C34" t="s">
        <v>20</v>
      </c>
      <c r="D34" t="s">
        <v>20</v>
      </c>
      <c r="E34" t="s">
        <v>21</v>
      </c>
      <c r="F34" s="1">
        <v>44787</v>
      </c>
      <c r="G34">
        <v>4</v>
      </c>
      <c r="H34" t="s">
        <v>22</v>
      </c>
      <c r="I34" t="s">
        <v>30</v>
      </c>
      <c r="J34" t="s">
        <v>18</v>
      </c>
      <c r="K34" t="s">
        <v>1443</v>
      </c>
      <c r="L34">
        <v>7673</v>
      </c>
      <c r="M34" t="s">
        <v>1444</v>
      </c>
    </row>
    <row r="35" spans="1:13" x14ac:dyDescent="0.2">
      <c r="A35" t="s">
        <v>70</v>
      </c>
      <c r="B35" t="s">
        <v>1445</v>
      </c>
      <c r="C35" t="s">
        <v>20</v>
      </c>
      <c r="D35" t="s">
        <v>20</v>
      </c>
      <c r="E35" t="s">
        <v>15</v>
      </c>
      <c r="F35" s="1">
        <v>44460</v>
      </c>
      <c r="G35">
        <v>5</v>
      </c>
      <c r="H35" t="s">
        <v>27</v>
      </c>
      <c r="I35" t="s">
        <v>17</v>
      </c>
      <c r="J35" t="s">
        <v>18</v>
      </c>
      <c r="K35" t="s">
        <v>1446</v>
      </c>
      <c r="L35">
        <v>3071</v>
      </c>
      <c r="M35" t="s">
        <v>1447</v>
      </c>
    </row>
    <row r="36" spans="1:13" x14ac:dyDescent="0.2">
      <c r="A36" t="s">
        <v>71</v>
      </c>
      <c r="B36" t="s">
        <v>1448</v>
      </c>
      <c r="C36" t="s">
        <v>20</v>
      </c>
      <c r="D36" t="s">
        <v>20</v>
      </c>
      <c r="E36" t="s">
        <v>26</v>
      </c>
      <c r="F36" s="1">
        <v>34075</v>
      </c>
      <c r="G36">
        <v>34</v>
      </c>
      <c r="H36" t="s">
        <v>16</v>
      </c>
      <c r="I36" t="s">
        <v>17</v>
      </c>
      <c r="J36" t="s">
        <v>18</v>
      </c>
      <c r="K36" t="s">
        <v>1449</v>
      </c>
      <c r="L36">
        <v>8733</v>
      </c>
      <c r="M36" t="s">
        <v>1450</v>
      </c>
    </row>
    <row r="37" spans="1:13" x14ac:dyDescent="0.2">
      <c r="A37" t="s">
        <v>74</v>
      </c>
      <c r="B37" t="s">
        <v>1451</v>
      </c>
      <c r="C37" t="s">
        <v>72</v>
      </c>
      <c r="D37" t="s">
        <v>73</v>
      </c>
      <c r="E37" t="s">
        <v>21</v>
      </c>
      <c r="F37" s="1">
        <v>45770</v>
      </c>
      <c r="G37">
        <v>2</v>
      </c>
      <c r="H37" t="s">
        <v>22</v>
      </c>
      <c r="I37" t="s">
        <v>17</v>
      </c>
      <c r="J37" t="s">
        <v>18</v>
      </c>
      <c r="K37" t="s">
        <v>1452</v>
      </c>
      <c r="L37">
        <v>7223</v>
      </c>
      <c r="M37" t="s">
        <v>1453</v>
      </c>
    </row>
    <row r="38" spans="1:13" x14ac:dyDescent="0.2">
      <c r="A38" t="s">
        <v>75</v>
      </c>
      <c r="B38" t="s">
        <v>1454</v>
      </c>
      <c r="C38" t="s">
        <v>72</v>
      </c>
      <c r="D38" t="s">
        <v>73</v>
      </c>
      <c r="E38" t="s">
        <v>21</v>
      </c>
      <c r="F38" s="1">
        <v>45844</v>
      </c>
      <c r="G38">
        <v>2</v>
      </c>
      <c r="H38" t="s">
        <v>27</v>
      </c>
      <c r="I38" t="s">
        <v>30</v>
      </c>
      <c r="J38" t="s">
        <v>18</v>
      </c>
      <c r="K38" t="s">
        <v>1455</v>
      </c>
      <c r="L38">
        <v>2638</v>
      </c>
      <c r="M38" t="s">
        <v>1456</v>
      </c>
    </row>
    <row r="39" spans="1:13" x14ac:dyDescent="0.2">
      <c r="A39" t="s">
        <v>76</v>
      </c>
      <c r="B39" t="s">
        <v>1457</v>
      </c>
      <c r="C39" t="s">
        <v>72</v>
      </c>
      <c r="D39" t="s">
        <v>73</v>
      </c>
      <c r="E39" t="s">
        <v>21</v>
      </c>
      <c r="F39" s="1">
        <v>46123</v>
      </c>
      <c r="G39">
        <v>1</v>
      </c>
      <c r="H39" t="s">
        <v>27</v>
      </c>
      <c r="I39" t="s">
        <v>17</v>
      </c>
      <c r="J39" t="s">
        <v>18</v>
      </c>
      <c r="K39" t="s">
        <v>1458</v>
      </c>
      <c r="L39">
        <v>4215</v>
      </c>
      <c r="M39" t="s">
        <v>1459</v>
      </c>
    </row>
    <row r="40" spans="1:13" x14ac:dyDescent="0.2">
      <c r="A40" t="s">
        <v>77</v>
      </c>
      <c r="B40" t="s">
        <v>1460</v>
      </c>
      <c r="C40" t="s">
        <v>72</v>
      </c>
      <c r="D40" t="s">
        <v>73</v>
      </c>
      <c r="E40" t="s">
        <v>15</v>
      </c>
      <c r="F40" s="1">
        <v>43882</v>
      </c>
      <c r="G40">
        <v>7</v>
      </c>
      <c r="H40" t="s">
        <v>16</v>
      </c>
      <c r="I40" t="s">
        <v>30</v>
      </c>
      <c r="J40" t="s">
        <v>24</v>
      </c>
      <c r="K40" t="s">
        <v>1461</v>
      </c>
      <c r="L40">
        <v>5427</v>
      </c>
      <c r="M40" t="s">
        <v>1462</v>
      </c>
    </row>
    <row r="41" spans="1:13" x14ac:dyDescent="0.2">
      <c r="A41" t="s">
        <v>78</v>
      </c>
      <c r="B41" t="s">
        <v>1463</v>
      </c>
      <c r="C41" t="s">
        <v>72</v>
      </c>
      <c r="D41" t="s">
        <v>73</v>
      </c>
      <c r="E41" t="s">
        <v>26</v>
      </c>
      <c r="F41" s="1">
        <v>36724</v>
      </c>
      <c r="G41">
        <v>26</v>
      </c>
      <c r="H41" t="s">
        <v>16</v>
      </c>
      <c r="I41" t="s">
        <v>23</v>
      </c>
      <c r="J41" t="s">
        <v>18</v>
      </c>
      <c r="K41" t="s">
        <v>1464</v>
      </c>
      <c r="L41">
        <v>1914</v>
      </c>
      <c r="M41" t="s">
        <v>1465</v>
      </c>
    </row>
    <row r="42" spans="1:13" x14ac:dyDescent="0.2">
      <c r="A42" t="s">
        <v>79</v>
      </c>
      <c r="B42" t="s">
        <v>1466</v>
      </c>
      <c r="C42" t="s">
        <v>56</v>
      </c>
      <c r="D42" t="s">
        <v>57</v>
      </c>
      <c r="E42" t="s">
        <v>21</v>
      </c>
      <c r="F42" s="1">
        <v>44822</v>
      </c>
      <c r="G42">
        <v>4</v>
      </c>
      <c r="H42" t="s">
        <v>22</v>
      </c>
      <c r="I42" t="s">
        <v>17</v>
      </c>
      <c r="J42" t="s">
        <v>18</v>
      </c>
      <c r="K42" t="s">
        <v>1467</v>
      </c>
      <c r="L42">
        <v>9284</v>
      </c>
      <c r="M42" t="s">
        <v>1468</v>
      </c>
    </row>
    <row r="43" spans="1:13" x14ac:dyDescent="0.2">
      <c r="A43" t="s">
        <v>80</v>
      </c>
      <c r="B43" t="s">
        <v>1469</v>
      </c>
      <c r="C43" t="s">
        <v>56</v>
      </c>
      <c r="D43" t="s">
        <v>57</v>
      </c>
      <c r="E43" t="s">
        <v>21</v>
      </c>
      <c r="F43" s="1">
        <v>44503</v>
      </c>
      <c r="G43">
        <v>5</v>
      </c>
      <c r="H43" t="s">
        <v>16</v>
      </c>
      <c r="I43" t="s">
        <v>17</v>
      </c>
      <c r="J43" t="s">
        <v>18</v>
      </c>
      <c r="K43" t="s">
        <v>1470</v>
      </c>
      <c r="L43">
        <v>1809</v>
      </c>
      <c r="M43" t="s">
        <v>1471</v>
      </c>
    </row>
    <row r="44" spans="1:13" x14ac:dyDescent="0.2">
      <c r="A44" t="s">
        <v>81</v>
      </c>
      <c r="B44" t="s">
        <v>1472</v>
      </c>
      <c r="C44" t="s">
        <v>56</v>
      </c>
      <c r="D44" t="s">
        <v>57</v>
      </c>
      <c r="E44" t="s">
        <v>21</v>
      </c>
      <c r="F44" s="1">
        <v>44844</v>
      </c>
      <c r="G44">
        <v>4</v>
      </c>
      <c r="H44" t="s">
        <v>16</v>
      </c>
      <c r="I44" t="s">
        <v>30</v>
      </c>
      <c r="J44" t="s">
        <v>18</v>
      </c>
      <c r="K44" t="s">
        <v>1473</v>
      </c>
      <c r="L44">
        <v>2496</v>
      </c>
      <c r="M44" t="s">
        <v>1474</v>
      </c>
    </row>
    <row r="45" spans="1:13" x14ac:dyDescent="0.2">
      <c r="A45" t="s">
        <v>82</v>
      </c>
      <c r="B45" t="s">
        <v>1475</v>
      </c>
      <c r="C45" t="s">
        <v>56</v>
      </c>
      <c r="D45" t="s">
        <v>57</v>
      </c>
      <c r="E45" t="s">
        <v>15</v>
      </c>
      <c r="F45" s="1">
        <v>43777</v>
      </c>
      <c r="G45">
        <v>7</v>
      </c>
      <c r="H45" t="s">
        <v>22</v>
      </c>
      <c r="I45" t="s">
        <v>23</v>
      </c>
      <c r="J45" t="s">
        <v>18</v>
      </c>
      <c r="K45" t="s">
        <v>1476</v>
      </c>
      <c r="L45">
        <v>8420</v>
      </c>
      <c r="M45" t="s">
        <v>1477</v>
      </c>
    </row>
    <row r="46" spans="1:13" x14ac:dyDescent="0.2">
      <c r="A46" t="s">
        <v>83</v>
      </c>
      <c r="B46" t="s">
        <v>1478</v>
      </c>
      <c r="C46" t="s">
        <v>56</v>
      </c>
      <c r="D46" t="s">
        <v>57</v>
      </c>
      <c r="E46" t="s">
        <v>26</v>
      </c>
      <c r="F46" s="1">
        <v>35867</v>
      </c>
      <c r="G46">
        <v>29</v>
      </c>
      <c r="H46" t="s">
        <v>27</v>
      </c>
      <c r="I46" t="s">
        <v>30</v>
      </c>
      <c r="J46" t="s">
        <v>18</v>
      </c>
      <c r="K46" t="s">
        <v>1479</v>
      </c>
      <c r="L46">
        <v>9206</v>
      </c>
      <c r="M46" t="s">
        <v>1480</v>
      </c>
    </row>
    <row r="47" spans="1:13" x14ac:dyDescent="0.2">
      <c r="A47" t="s">
        <v>84</v>
      </c>
      <c r="B47" t="s">
        <v>1481</v>
      </c>
      <c r="C47" t="s">
        <v>50</v>
      </c>
      <c r="D47" t="s">
        <v>50</v>
      </c>
      <c r="E47" t="s">
        <v>21</v>
      </c>
      <c r="F47" s="1">
        <v>45659</v>
      </c>
      <c r="G47">
        <v>2</v>
      </c>
      <c r="H47" t="s">
        <v>22</v>
      </c>
      <c r="I47" t="s">
        <v>30</v>
      </c>
      <c r="J47" t="s">
        <v>18</v>
      </c>
      <c r="K47" t="s">
        <v>1482</v>
      </c>
      <c r="L47">
        <v>3884</v>
      </c>
      <c r="M47" t="s">
        <v>1483</v>
      </c>
    </row>
    <row r="48" spans="1:13" x14ac:dyDescent="0.2">
      <c r="A48" t="s">
        <v>85</v>
      </c>
      <c r="B48" t="s">
        <v>1484</v>
      </c>
      <c r="C48" t="s">
        <v>50</v>
      </c>
      <c r="D48" t="s">
        <v>50</v>
      </c>
      <c r="E48" t="s">
        <v>21</v>
      </c>
      <c r="F48" s="1">
        <v>44536</v>
      </c>
      <c r="G48">
        <v>5</v>
      </c>
      <c r="H48" t="s">
        <v>22</v>
      </c>
      <c r="I48" t="s">
        <v>17</v>
      </c>
      <c r="J48" t="s">
        <v>18</v>
      </c>
      <c r="K48" t="s">
        <v>1485</v>
      </c>
      <c r="L48">
        <v>8964</v>
      </c>
      <c r="M48" t="s">
        <v>1486</v>
      </c>
    </row>
    <row r="49" spans="1:13" x14ac:dyDescent="0.2">
      <c r="A49" t="s">
        <v>86</v>
      </c>
      <c r="B49" t="s">
        <v>1487</v>
      </c>
      <c r="C49" t="s">
        <v>50</v>
      </c>
      <c r="D49" t="s">
        <v>50</v>
      </c>
      <c r="E49" t="s">
        <v>21</v>
      </c>
      <c r="F49" s="1">
        <v>46191</v>
      </c>
      <c r="G49">
        <v>1</v>
      </c>
      <c r="H49" t="s">
        <v>27</v>
      </c>
      <c r="I49" t="s">
        <v>30</v>
      </c>
      <c r="J49" t="s">
        <v>18</v>
      </c>
      <c r="K49" t="s">
        <v>1488</v>
      </c>
      <c r="L49">
        <v>7239</v>
      </c>
      <c r="M49" t="s">
        <v>1489</v>
      </c>
    </row>
    <row r="50" spans="1:13" x14ac:dyDescent="0.2">
      <c r="A50" t="s">
        <v>87</v>
      </c>
      <c r="B50" t="s">
        <v>1490</v>
      </c>
      <c r="C50" t="s">
        <v>50</v>
      </c>
      <c r="D50" t="s">
        <v>50</v>
      </c>
      <c r="E50" t="s">
        <v>15</v>
      </c>
      <c r="F50" s="1">
        <v>44362</v>
      </c>
      <c r="G50">
        <v>6</v>
      </c>
      <c r="H50" t="s">
        <v>22</v>
      </c>
      <c r="I50" t="s">
        <v>23</v>
      </c>
      <c r="J50" t="s">
        <v>18</v>
      </c>
      <c r="K50" t="s">
        <v>1491</v>
      </c>
      <c r="L50">
        <v>9426</v>
      </c>
      <c r="M50" t="s">
        <v>1492</v>
      </c>
    </row>
    <row r="51" spans="1:13" x14ac:dyDescent="0.2">
      <c r="A51" t="s">
        <v>88</v>
      </c>
      <c r="B51" t="s">
        <v>1493</v>
      </c>
      <c r="C51" t="s">
        <v>50</v>
      </c>
      <c r="D51" t="s">
        <v>50</v>
      </c>
      <c r="E51" t="s">
        <v>26</v>
      </c>
      <c r="F51" s="1">
        <v>40358</v>
      </c>
      <c r="G51">
        <v>17</v>
      </c>
      <c r="H51" t="s">
        <v>22</v>
      </c>
      <c r="I51" t="s">
        <v>23</v>
      </c>
      <c r="J51" t="s">
        <v>18</v>
      </c>
      <c r="K51" t="s">
        <v>1494</v>
      </c>
      <c r="L51">
        <v>7062</v>
      </c>
      <c r="M51" t="s">
        <v>1495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21"/>
  <sheetViews>
    <sheetView workbookViewId="0">
      <pane ySplit="1" topLeftCell="A2" activePane="bottomLeft" state="frozen"/>
      <selection pane="bottomLeft" activeCell="M13" sqref="M13"/>
    </sheetView>
  </sheetViews>
  <sheetFormatPr baseColWidth="10" defaultColWidth="8.83203125" defaultRowHeight="15" x14ac:dyDescent="0.2"/>
  <cols>
    <col min="1" max="1" width="12.83203125" bestFit="1" customWidth="1"/>
    <col min="2" max="2" width="10.1640625" bestFit="1" customWidth="1"/>
    <col min="3" max="3" width="13.1640625" bestFit="1" customWidth="1"/>
    <col min="4" max="4" width="13" bestFit="1" customWidth="1"/>
    <col min="5" max="5" width="16.83203125" bestFit="1" customWidth="1"/>
    <col min="6" max="6" width="7.1640625" bestFit="1" customWidth="1"/>
    <col min="7" max="8" width="17.6640625" bestFit="1" customWidth="1"/>
    <col min="9" max="9" width="12.83203125" bestFit="1" customWidth="1"/>
    <col min="10" max="10" width="12.33203125" bestFit="1" customWidth="1"/>
    <col min="11" max="11" width="15.83203125" bestFit="1" customWidth="1"/>
  </cols>
  <sheetData>
    <row r="1" spans="1:11" x14ac:dyDescent="0.2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0</v>
      </c>
      <c r="K1" t="s">
        <v>98</v>
      </c>
    </row>
    <row r="2" spans="1:11" x14ac:dyDescent="0.2">
      <c r="A2" t="s">
        <v>99</v>
      </c>
      <c r="B2" s="1">
        <v>46189</v>
      </c>
      <c r="C2" t="s">
        <v>100</v>
      </c>
      <c r="D2" t="s">
        <v>101</v>
      </c>
      <c r="E2" t="s">
        <v>32</v>
      </c>
      <c r="F2" t="s">
        <v>23</v>
      </c>
      <c r="G2" s="2">
        <v>46189.291666666657</v>
      </c>
      <c r="H2" s="2">
        <v>46189.791666666657</v>
      </c>
      <c r="I2">
        <v>12</v>
      </c>
      <c r="J2" t="s">
        <v>19</v>
      </c>
      <c r="K2" t="s">
        <v>102</v>
      </c>
    </row>
    <row r="3" spans="1:11" x14ac:dyDescent="0.2">
      <c r="A3" t="s">
        <v>103</v>
      </c>
      <c r="B3" s="1">
        <v>46189</v>
      </c>
      <c r="C3" t="s">
        <v>100</v>
      </c>
      <c r="D3" t="s">
        <v>101</v>
      </c>
      <c r="E3" t="s">
        <v>32</v>
      </c>
      <c r="F3" t="s">
        <v>30</v>
      </c>
      <c r="G3" s="2">
        <v>46189.791666666657</v>
      </c>
      <c r="H3" s="2">
        <v>46190.291666666657</v>
      </c>
      <c r="I3">
        <v>12</v>
      </c>
      <c r="J3" t="s">
        <v>13</v>
      </c>
      <c r="K3" t="s">
        <v>102</v>
      </c>
    </row>
    <row r="4" spans="1:11" x14ac:dyDescent="0.2">
      <c r="A4" t="s">
        <v>104</v>
      </c>
      <c r="B4" s="1">
        <v>46189</v>
      </c>
      <c r="C4" t="s">
        <v>100</v>
      </c>
      <c r="D4" t="s">
        <v>101</v>
      </c>
      <c r="E4" t="s">
        <v>48</v>
      </c>
      <c r="F4" t="s">
        <v>23</v>
      </c>
      <c r="G4" s="2">
        <v>46189.291666666657</v>
      </c>
      <c r="H4" s="2">
        <v>46189.791666666657</v>
      </c>
      <c r="I4">
        <v>12</v>
      </c>
      <c r="J4" t="s">
        <v>37</v>
      </c>
      <c r="K4" t="s">
        <v>102</v>
      </c>
    </row>
    <row r="5" spans="1:11" x14ac:dyDescent="0.2">
      <c r="A5" t="s">
        <v>105</v>
      </c>
      <c r="B5" s="1">
        <v>46189</v>
      </c>
      <c r="C5" t="s">
        <v>100</v>
      </c>
      <c r="D5" t="s">
        <v>101</v>
      </c>
      <c r="E5" t="s">
        <v>48</v>
      </c>
      <c r="F5" t="s">
        <v>30</v>
      </c>
      <c r="G5" s="2">
        <v>46189.791666666657</v>
      </c>
      <c r="H5" s="2">
        <v>46190.291666666657</v>
      </c>
      <c r="I5">
        <v>12</v>
      </c>
      <c r="J5" t="s">
        <v>40</v>
      </c>
      <c r="K5" t="s">
        <v>102</v>
      </c>
    </row>
    <row r="6" spans="1:11" x14ac:dyDescent="0.2">
      <c r="A6" t="s">
        <v>106</v>
      </c>
      <c r="B6" s="1">
        <v>46189</v>
      </c>
      <c r="C6" t="s">
        <v>100</v>
      </c>
      <c r="D6" t="s">
        <v>101</v>
      </c>
      <c r="E6" t="s">
        <v>36</v>
      </c>
      <c r="F6" t="s">
        <v>23</v>
      </c>
      <c r="G6" s="2">
        <v>46189.291666666657</v>
      </c>
      <c r="H6" s="2">
        <v>46189.791666666657</v>
      </c>
      <c r="I6">
        <v>12</v>
      </c>
      <c r="J6" t="s">
        <v>43</v>
      </c>
      <c r="K6" t="s">
        <v>102</v>
      </c>
    </row>
    <row r="7" spans="1:11" x14ac:dyDescent="0.2">
      <c r="A7" t="s">
        <v>107</v>
      </c>
      <c r="B7" s="1">
        <v>46189</v>
      </c>
      <c r="C7" t="s">
        <v>100</v>
      </c>
      <c r="D7" t="s">
        <v>101</v>
      </c>
      <c r="E7" t="s">
        <v>36</v>
      </c>
      <c r="F7" t="s">
        <v>30</v>
      </c>
      <c r="G7" s="2">
        <v>46189.791666666657</v>
      </c>
      <c r="H7" s="2">
        <v>46190.291666666657</v>
      </c>
      <c r="I7">
        <v>12</v>
      </c>
      <c r="J7" t="s">
        <v>44</v>
      </c>
      <c r="K7" t="s">
        <v>102</v>
      </c>
    </row>
    <row r="8" spans="1:11" x14ac:dyDescent="0.2">
      <c r="A8" t="s">
        <v>108</v>
      </c>
      <c r="B8" s="1">
        <v>46189</v>
      </c>
      <c r="C8" t="s">
        <v>100</v>
      </c>
      <c r="D8" t="s">
        <v>101</v>
      </c>
      <c r="E8" t="s">
        <v>14</v>
      </c>
      <c r="F8" t="s">
        <v>23</v>
      </c>
      <c r="G8" s="2">
        <v>46189.291666666657</v>
      </c>
      <c r="H8" s="2">
        <v>46189.791666666657</v>
      </c>
      <c r="I8">
        <v>12</v>
      </c>
      <c r="J8" t="s">
        <v>49</v>
      </c>
      <c r="K8" t="s">
        <v>102</v>
      </c>
    </row>
    <row r="9" spans="1:11" x14ac:dyDescent="0.2">
      <c r="A9" t="s">
        <v>109</v>
      </c>
      <c r="B9" s="1">
        <v>46189</v>
      </c>
      <c r="C9" t="s">
        <v>100</v>
      </c>
      <c r="D9" t="s">
        <v>101</v>
      </c>
      <c r="E9" t="s">
        <v>14</v>
      </c>
      <c r="F9" t="s">
        <v>30</v>
      </c>
      <c r="G9" s="2">
        <v>46189.791666666657</v>
      </c>
      <c r="H9" s="2">
        <v>46190.291666666657</v>
      </c>
      <c r="I9">
        <v>12</v>
      </c>
      <c r="J9" t="s">
        <v>54</v>
      </c>
      <c r="K9" t="s">
        <v>102</v>
      </c>
    </row>
    <row r="10" spans="1:11" x14ac:dyDescent="0.2">
      <c r="A10" t="s">
        <v>110</v>
      </c>
      <c r="B10" s="1">
        <v>46189</v>
      </c>
      <c r="C10" t="s">
        <v>100</v>
      </c>
      <c r="D10" t="s">
        <v>101</v>
      </c>
      <c r="E10" t="s">
        <v>38</v>
      </c>
      <c r="F10" t="s">
        <v>23</v>
      </c>
      <c r="G10" s="2">
        <v>46189.291666666657</v>
      </c>
      <c r="H10" s="2">
        <v>46189.791666666657</v>
      </c>
      <c r="I10">
        <v>12</v>
      </c>
      <c r="J10" t="s">
        <v>61</v>
      </c>
      <c r="K10" t="s">
        <v>102</v>
      </c>
    </row>
    <row r="11" spans="1:11" x14ac:dyDescent="0.2">
      <c r="A11" t="s">
        <v>111</v>
      </c>
      <c r="B11" s="1">
        <v>46189</v>
      </c>
      <c r="C11" t="s">
        <v>100</v>
      </c>
      <c r="D11" t="s">
        <v>101</v>
      </c>
      <c r="E11" t="s">
        <v>38</v>
      </c>
      <c r="F11" t="s">
        <v>30</v>
      </c>
      <c r="G11" s="2">
        <v>46189.791666666657</v>
      </c>
      <c r="H11" s="2">
        <v>46190.291666666657</v>
      </c>
      <c r="I11">
        <v>12</v>
      </c>
      <c r="J11" t="s">
        <v>59</v>
      </c>
      <c r="K11" t="s">
        <v>102</v>
      </c>
    </row>
    <row r="12" spans="1:11" x14ac:dyDescent="0.2">
      <c r="A12" t="s">
        <v>112</v>
      </c>
      <c r="B12" s="1">
        <v>46189</v>
      </c>
      <c r="C12" t="s">
        <v>100</v>
      </c>
      <c r="D12" t="s">
        <v>101</v>
      </c>
      <c r="E12" t="s">
        <v>29</v>
      </c>
      <c r="F12" t="s">
        <v>23</v>
      </c>
      <c r="G12" s="2">
        <v>46189.291666666657</v>
      </c>
      <c r="H12" s="2">
        <v>46189.791666666657</v>
      </c>
      <c r="I12">
        <v>12</v>
      </c>
      <c r="J12" t="s">
        <v>64</v>
      </c>
      <c r="K12" t="s">
        <v>102</v>
      </c>
    </row>
    <row r="13" spans="1:11" x14ac:dyDescent="0.2">
      <c r="A13" t="s">
        <v>113</v>
      </c>
      <c r="B13" s="1">
        <v>46189</v>
      </c>
      <c r="C13" t="s">
        <v>100</v>
      </c>
      <c r="D13" t="s">
        <v>101</v>
      </c>
      <c r="E13" t="s">
        <v>29</v>
      </c>
      <c r="F13" t="s">
        <v>30</v>
      </c>
      <c r="G13" s="2">
        <v>46189.791666666657</v>
      </c>
      <c r="H13" s="2">
        <v>46190.291666666657</v>
      </c>
      <c r="I13">
        <v>12</v>
      </c>
      <c r="J13" t="s">
        <v>62</v>
      </c>
      <c r="K13" t="s">
        <v>102</v>
      </c>
    </row>
    <row r="14" spans="1:11" x14ac:dyDescent="0.2">
      <c r="A14" t="s">
        <v>114</v>
      </c>
      <c r="B14" s="1">
        <v>46189</v>
      </c>
      <c r="C14" t="s">
        <v>100</v>
      </c>
      <c r="D14" t="s">
        <v>101</v>
      </c>
      <c r="E14" t="s">
        <v>20</v>
      </c>
      <c r="F14" t="s">
        <v>23</v>
      </c>
      <c r="G14" s="2">
        <v>46189.291666666657</v>
      </c>
      <c r="H14" s="2">
        <v>46189.791666666657</v>
      </c>
      <c r="I14">
        <v>12</v>
      </c>
      <c r="J14" t="s">
        <v>71</v>
      </c>
      <c r="K14" t="s">
        <v>102</v>
      </c>
    </row>
    <row r="15" spans="1:11" x14ac:dyDescent="0.2">
      <c r="A15" t="s">
        <v>115</v>
      </c>
      <c r="B15" s="1">
        <v>46189</v>
      </c>
      <c r="C15" t="s">
        <v>100</v>
      </c>
      <c r="D15" t="s">
        <v>101</v>
      </c>
      <c r="E15" t="s">
        <v>20</v>
      </c>
      <c r="F15" t="s">
        <v>30</v>
      </c>
      <c r="G15" s="2">
        <v>46189.791666666657</v>
      </c>
      <c r="H15" s="2">
        <v>46190.291666666657</v>
      </c>
      <c r="I15">
        <v>12</v>
      </c>
      <c r="J15" t="s">
        <v>68</v>
      </c>
      <c r="K15" t="s">
        <v>102</v>
      </c>
    </row>
    <row r="16" spans="1:11" x14ac:dyDescent="0.2">
      <c r="A16" t="s">
        <v>116</v>
      </c>
      <c r="B16" s="1">
        <v>46189</v>
      </c>
      <c r="C16" t="s">
        <v>100</v>
      </c>
      <c r="D16" t="s">
        <v>101</v>
      </c>
      <c r="E16" t="s">
        <v>72</v>
      </c>
      <c r="F16" t="s">
        <v>23</v>
      </c>
      <c r="G16" s="2">
        <v>46189.291666666657</v>
      </c>
      <c r="H16" s="2">
        <v>46189.791666666657</v>
      </c>
      <c r="I16">
        <v>12</v>
      </c>
      <c r="J16" t="s">
        <v>76</v>
      </c>
      <c r="K16" t="s">
        <v>102</v>
      </c>
    </row>
    <row r="17" spans="1:11" x14ac:dyDescent="0.2">
      <c r="A17" t="s">
        <v>117</v>
      </c>
      <c r="B17" s="1">
        <v>46189</v>
      </c>
      <c r="C17" t="s">
        <v>100</v>
      </c>
      <c r="D17" t="s">
        <v>101</v>
      </c>
      <c r="E17" t="s">
        <v>72</v>
      </c>
      <c r="F17" t="s">
        <v>30</v>
      </c>
      <c r="G17" s="2">
        <v>46189.791666666657</v>
      </c>
      <c r="H17" s="2">
        <v>46190.291666666657</v>
      </c>
      <c r="I17">
        <v>12</v>
      </c>
      <c r="J17" t="s">
        <v>74</v>
      </c>
      <c r="K17" t="s">
        <v>102</v>
      </c>
    </row>
    <row r="18" spans="1:11" x14ac:dyDescent="0.2">
      <c r="A18" t="s">
        <v>118</v>
      </c>
      <c r="B18" s="1">
        <v>46189</v>
      </c>
      <c r="C18" t="s">
        <v>100</v>
      </c>
      <c r="D18" t="s">
        <v>101</v>
      </c>
      <c r="E18" t="s">
        <v>56</v>
      </c>
      <c r="F18" t="s">
        <v>23</v>
      </c>
      <c r="G18" s="2">
        <v>46189.291666666657</v>
      </c>
      <c r="H18" s="2">
        <v>46189.791666666657</v>
      </c>
      <c r="I18">
        <v>12</v>
      </c>
      <c r="J18" t="s">
        <v>81</v>
      </c>
      <c r="K18" t="s">
        <v>102</v>
      </c>
    </row>
    <row r="19" spans="1:11" x14ac:dyDescent="0.2">
      <c r="A19" t="s">
        <v>119</v>
      </c>
      <c r="B19" s="1">
        <v>46189</v>
      </c>
      <c r="C19" t="s">
        <v>100</v>
      </c>
      <c r="D19" t="s">
        <v>101</v>
      </c>
      <c r="E19" t="s">
        <v>56</v>
      </c>
      <c r="F19" t="s">
        <v>30</v>
      </c>
      <c r="G19" s="2">
        <v>46189.791666666657</v>
      </c>
      <c r="H19" s="2">
        <v>46190.291666666657</v>
      </c>
      <c r="I19">
        <v>12</v>
      </c>
      <c r="J19" t="s">
        <v>80</v>
      </c>
      <c r="K19" t="s">
        <v>102</v>
      </c>
    </row>
    <row r="20" spans="1:11" x14ac:dyDescent="0.2">
      <c r="A20" t="s">
        <v>120</v>
      </c>
      <c r="B20" s="1">
        <v>46189</v>
      </c>
      <c r="C20" t="s">
        <v>100</v>
      </c>
      <c r="D20" t="s">
        <v>101</v>
      </c>
      <c r="E20" t="s">
        <v>50</v>
      </c>
      <c r="F20" t="s">
        <v>23</v>
      </c>
      <c r="G20" s="2">
        <v>46189.291666666657</v>
      </c>
      <c r="H20" s="2">
        <v>46189.791666666657</v>
      </c>
      <c r="I20">
        <v>12</v>
      </c>
      <c r="J20" t="s">
        <v>87</v>
      </c>
      <c r="K20" t="s">
        <v>102</v>
      </c>
    </row>
    <row r="21" spans="1:11" x14ac:dyDescent="0.2">
      <c r="A21" t="s">
        <v>121</v>
      </c>
      <c r="B21" s="1">
        <v>46189</v>
      </c>
      <c r="C21" t="s">
        <v>100</v>
      </c>
      <c r="D21" t="s">
        <v>101</v>
      </c>
      <c r="E21" t="s">
        <v>50</v>
      </c>
      <c r="F21" t="s">
        <v>30</v>
      </c>
      <c r="G21" s="2">
        <v>46189.791666666657</v>
      </c>
      <c r="H21" s="2">
        <v>46190.291666666657</v>
      </c>
      <c r="I21">
        <v>12</v>
      </c>
      <c r="J21" t="s">
        <v>86</v>
      </c>
      <c r="K21" t="s">
        <v>102</v>
      </c>
    </row>
    <row r="22" spans="1:11" x14ac:dyDescent="0.2">
      <c r="A22" t="s">
        <v>122</v>
      </c>
      <c r="B22" s="1">
        <v>46190</v>
      </c>
      <c r="C22" t="s">
        <v>123</v>
      </c>
      <c r="D22" t="s">
        <v>101</v>
      </c>
      <c r="E22" t="s">
        <v>32</v>
      </c>
      <c r="F22" t="s">
        <v>23</v>
      </c>
      <c r="G22" s="2">
        <v>46190.291666666657</v>
      </c>
      <c r="H22" s="2">
        <v>46190.791666666657</v>
      </c>
      <c r="I22">
        <v>12</v>
      </c>
      <c r="J22" t="s">
        <v>31</v>
      </c>
      <c r="K22" t="s">
        <v>102</v>
      </c>
    </row>
    <row r="23" spans="1:11" x14ac:dyDescent="0.2">
      <c r="A23" t="s">
        <v>124</v>
      </c>
      <c r="B23" s="1">
        <v>46190</v>
      </c>
      <c r="C23" t="s">
        <v>123</v>
      </c>
      <c r="D23" t="s">
        <v>101</v>
      </c>
      <c r="E23" t="s">
        <v>32</v>
      </c>
      <c r="F23" t="s">
        <v>30</v>
      </c>
      <c r="G23" s="2">
        <v>46190.791666666657</v>
      </c>
      <c r="H23" s="2">
        <v>46191.291666666657</v>
      </c>
      <c r="I23">
        <v>12</v>
      </c>
      <c r="J23" t="s">
        <v>13</v>
      </c>
      <c r="K23" t="s">
        <v>102</v>
      </c>
    </row>
    <row r="24" spans="1:11" x14ac:dyDescent="0.2">
      <c r="A24" t="s">
        <v>125</v>
      </c>
      <c r="B24" s="1">
        <v>46190</v>
      </c>
      <c r="C24" t="s">
        <v>123</v>
      </c>
      <c r="D24" t="s">
        <v>101</v>
      </c>
      <c r="E24" t="s">
        <v>48</v>
      </c>
      <c r="F24" t="s">
        <v>23</v>
      </c>
      <c r="G24" s="2">
        <v>46190.291666666657</v>
      </c>
      <c r="H24" s="2">
        <v>46190.791666666657</v>
      </c>
      <c r="I24">
        <v>12</v>
      </c>
      <c r="J24" t="s">
        <v>42</v>
      </c>
      <c r="K24" t="s">
        <v>102</v>
      </c>
    </row>
    <row r="25" spans="1:11" x14ac:dyDescent="0.2">
      <c r="A25" t="s">
        <v>126</v>
      </c>
      <c r="B25" s="1">
        <v>46190</v>
      </c>
      <c r="C25" t="s">
        <v>123</v>
      </c>
      <c r="D25" t="s">
        <v>101</v>
      </c>
      <c r="E25" t="s">
        <v>48</v>
      </c>
      <c r="F25" t="s">
        <v>30</v>
      </c>
      <c r="G25" s="2">
        <v>46190.791666666657</v>
      </c>
      <c r="H25" s="2">
        <v>46191.291666666657</v>
      </c>
      <c r="I25">
        <v>12</v>
      </c>
      <c r="J25" t="s">
        <v>40</v>
      </c>
      <c r="K25" t="s">
        <v>102</v>
      </c>
    </row>
    <row r="26" spans="1:11" x14ac:dyDescent="0.2">
      <c r="A26" t="s">
        <v>127</v>
      </c>
      <c r="B26" s="1">
        <v>46190</v>
      </c>
      <c r="C26" t="s">
        <v>123</v>
      </c>
      <c r="D26" t="s">
        <v>101</v>
      </c>
      <c r="E26" t="s">
        <v>36</v>
      </c>
      <c r="F26" t="s">
        <v>23</v>
      </c>
      <c r="G26" s="2">
        <v>46190.291666666657</v>
      </c>
      <c r="H26" s="2">
        <v>46190.791666666657</v>
      </c>
      <c r="I26">
        <v>12</v>
      </c>
      <c r="J26" t="s">
        <v>47</v>
      </c>
      <c r="K26" t="s">
        <v>102</v>
      </c>
    </row>
    <row r="27" spans="1:11" x14ac:dyDescent="0.2">
      <c r="A27" t="s">
        <v>128</v>
      </c>
      <c r="B27" s="1">
        <v>46190</v>
      </c>
      <c r="C27" t="s">
        <v>123</v>
      </c>
      <c r="D27" t="s">
        <v>101</v>
      </c>
      <c r="E27" t="s">
        <v>36</v>
      </c>
      <c r="F27" t="s">
        <v>30</v>
      </c>
      <c r="G27" s="2">
        <v>46190.791666666657</v>
      </c>
      <c r="H27" s="2">
        <v>46191.291666666657</v>
      </c>
      <c r="I27">
        <v>12</v>
      </c>
      <c r="J27" t="s">
        <v>43</v>
      </c>
      <c r="K27" t="s">
        <v>102</v>
      </c>
    </row>
    <row r="28" spans="1:11" x14ac:dyDescent="0.2">
      <c r="A28" t="s">
        <v>129</v>
      </c>
      <c r="B28" s="1">
        <v>46190</v>
      </c>
      <c r="C28" t="s">
        <v>123</v>
      </c>
      <c r="D28" t="s">
        <v>101</v>
      </c>
      <c r="E28" t="s">
        <v>14</v>
      </c>
      <c r="F28" t="s">
        <v>23</v>
      </c>
      <c r="G28" s="2">
        <v>46190.291666666657</v>
      </c>
      <c r="H28" s="2">
        <v>46190.791666666657</v>
      </c>
      <c r="I28">
        <v>12</v>
      </c>
      <c r="J28" t="s">
        <v>51</v>
      </c>
      <c r="K28" t="s">
        <v>102</v>
      </c>
    </row>
    <row r="29" spans="1:11" x14ac:dyDescent="0.2">
      <c r="A29" t="s">
        <v>130</v>
      </c>
      <c r="B29" s="1">
        <v>46190</v>
      </c>
      <c r="C29" t="s">
        <v>123</v>
      </c>
      <c r="D29" t="s">
        <v>101</v>
      </c>
      <c r="E29" t="s">
        <v>14</v>
      </c>
      <c r="F29" t="s">
        <v>30</v>
      </c>
      <c r="G29" s="2">
        <v>46190.791666666657</v>
      </c>
      <c r="H29" s="2">
        <v>46191.291666666657</v>
      </c>
      <c r="I29">
        <v>12</v>
      </c>
      <c r="J29" t="s">
        <v>49</v>
      </c>
      <c r="K29" t="s">
        <v>102</v>
      </c>
    </row>
    <row r="30" spans="1:11" x14ac:dyDescent="0.2">
      <c r="A30" t="s">
        <v>131</v>
      </c>
      <c r="B30" s="1">
        <v>46190</v>
      </c>
      <c r="C30" t="s">
        <v>123</v>
      </c>
      <c r="D30" t="s">
        <v>101</v>
      </c>
      <c r="E30" t="s">
        <v>38</v>
      </c>
      <c r="F30" t="s">
        <v>23</v>
      </c>
      <c r="G30" s="2">
        <v>46190.291666666657</v>
      </c>
      <c r="H30" s="2">
        <v>46190.791666666657</v>
      </c>
      <c r="I30">
        <v>12</v>
      </c>
      <c r="J30" t="s">
        <v>61</v>
      </c>
      <c r="K30" t="s">
        <v>102</v>
      </c>
    </row>
    <row r="31" spans="1:11" x14ac:dyDescent="0.2">
      <c r="A31" t="s">
        <v>132</v>
      </c>
      <c r="B31" s="1">
        <v>46190</v>
      </c>
      <c r="C31" t="s">
        <v>123</v>
      </c>
      <c r="D31" t="s">
        <v>101</v>
      </c>
      <c r="E31" t="s">
        <v>38</v>
      </c>
      <c r="F31" t="s">
        <v>30</v>
      </c>
      <c r="G31" s="2">
        <v>46190.791666666657</v>
      </c>
      <c r="H31" s="2">
        <v>46191.291666666657</v>
      </c>
      <c r="I31">
        <v>12</v>
      </c>
      <c r="J31" t="s">
        <v>58</v>
      </c>
      <c r="K31" t="s">
        <v>102</v>
      </c>
    </row>
    <row r="32" spans="1:11" x14ac:dyDescent="0.2">
      <c r="A32" t="s">
        <v>133</v>
      </c>
      <c r="B32" s="1">
        <v>46190</v>
      </c>
      <c r="C32" t="s">
        <v>123</v>
      </c>
      <c r="D32" t="s">
        <v>101</v>
      </c>
      <c r="E32" t="s">
        <v>29</v>
      </c>
      <c r="F32" t="s">
        <v>23</v>
      </c>
      <c r="G32" s="2">
        <v>46190.291666666657</v>
      </c>
      <c r="H32" s="2">
        <v>46190.791666666657</v>
      </c>
      <c r="I32">
        <v>12</v>
      </c>
      <c r="J32" t="s">
        <v>66</v>
      </c>
      <c r="K32" t="s">
        <v>102</v>
      </c>
    </row>
    <row r="33" spans="1:11" x14ac:dyDescent="0.2">
      <c r="A33" t="s">
        <v>134</v>
      </c>
      <c r="B33" s="1">
        <v>46190</v>
      </c>
      <c r="C33" t="s">
        <v>123</v>
      </c>
      <c r="D33" t="s">
        <v>101</v>
      </c>
      <c r="E33" t="s">
        <v>29</v>
      </c>
      <c r="F33" t="s">
        <v>30</v>
      </c>
      <c r="G33" s="2">
        <v>46190.791666666657</v>
      </c>
      <c r="H33" s="2">
        <v>46191.291666666657</v>
      </c>
      <c r="I33">
        <v>12</v>
      </c>
      <c r="J33" t="s">
        <v>63</v>
      </c>
      <c r="K33" t="s">
        <v>102</v>
      </c>
    </row>
    <row r="34" spans="1:11" x14ac:dyDescent="0.2">
      <c r="A34" t="s">
        <v>135</v>
      </c>
      <c r="B34" s="1">
        <v>46190</v>
      </c>
      <c r="C34" t="s">
        <v>123</v>
      </c>
      <c r="D34" t="s">
        <v>101</v>
      </c>
      <c r="E34" t="s">
        <v>20</v>
      </c>
      <c r="F34" t="s">
        <v>23</v>
      </c>
      <c r="G34" s="2">
        <v>46190.291666666657</v>
      </c>
      <c r="H34" s="2">
        <v>46190.791666666657</v>
      </c>
      <c r="I34">
        <v>12</v>
      </c>
      <c r="J34" t="s">
        <v>71</v>
      </c>
      <c r="K34" t="s">
        <v>102</v>
      </c>
    </row>
    <row r="35" spans="1:11" x14ac:dyDescent="0.2">
      <c r="A35" t="s">
        <v>136</v>
      </c>
      <c r="B35" s="1">
        <v>46190</v>
      </c>
      <c r="C35" t="s">
        <v>123</v>
      </c>
      <c r="D35" t="s">
        <v>101</v>
      </c>
      <c r="E35" t="s">
        <v>20</v>
      </c>
      <c r="F35" t="s">
        <v>30</v>
      </c>
      <c r="G35" s="2">
        <v>46190.791666666657</v>
      </c>
      <c r="H35" s="2">
        <v>46191.291666666657</v>
      </c>
      <c r="I35">
        <v>12</v>
      </c>
      <c r="J35" t="s">
        <v>70</v>
      </c>
      <c r="K35" t="s">
        <v>102</v>
      </c>
    </row>
    <row r="36" spans="1:11" x14ac:dyDescent="0.2">
      <c r="A36" t="s">
        <v>137</v>
      </c>
      <c r="B36" s="1">
        <v>46190</v>
      </c>
      <c r="C36" t="s">
        <v>123</v>
      </c>
      <c r="D36" t="s">
        <v>101</v>
      </c>
      <c r="E36" t="s">
        <v>72</v>
      </c>
      <c r="F36" t="s">
        <v>23</v>
      </c>
      <c r="G36" s="2">
        <v>46190.291666666657</v>
      </c>
      <c r="H36" s="2">
        <v>46190.791666666657</v>
      </c>
      <c r="I36">
        <v>12</v>
      </c>
      <c r="J36" t="s">
        <v>78</v>
      </c>
      <c r="K36" t="s">
        <v>102</v>
      </c>
    </row>
    <row r="37" spans="1:11" x14ac:dyDescent="0.2">
      <c r="A37" t="s">
        <v>138</v>
      </c>
      <c r="B37" s="1">
        <v>46190</v>
      </c>
      <c r="C37" t="s">
        <v>123</v>
      </c>
      <c r="D37" t="s">
        <v>101</v>
      </c>
      <c r="E37" t="s">
        <v>72</v>
      </c>
      <c r="F37" t="s">
        <v>30</v>
      </c>
      <c r="G37" s="2">
        <v>46190.791666666657</v>
      </c>
      <c r="H37" s="2">
        <v>46191.291666666657</v>
      </c>
      <c r="I37">
        <v>12</v>
      </c>
      <c r="J37" t="s">
        <v>75</v>
      </c>
      <c r="K37" t="s">
        <v>102</v>
      </c>
    </row>
    <row r="38" spans="1:11" x14ac:dyDescent="0.2">
      <c r="A38" t="s">
        <v>139</v>
      </c>
      <c r="B38" s="1">
        <v>46190</v>
      </c>
      <c r="C38" t="s">
        <v>123</v>
      </c>
      <c r="D38" t="s">
        <v>101</v>
      </c>
      <c r="E38" t="s">
        <v>56</v>
      </c>
      <c r="F38" t="s">
        <v>23</v>
      </c>
      <c r="G38" s="2">
        <v>46190.291666666657</v>
      </c>
      <c r="H38" s="2">
        <v>46190.791666666657</v>
      </c>
      <c r="I38">
        <v>12</v>
      </c>
      <c r="J38" t="s">
        <v>83</v>
      </c>
      <c r="K38" t="s">
        <v>102</v>
      </c>
    </row>
    <row r="39" spans="1:11" x14ac:dyDescent="0.2">
      <c r="A39" t="s">
        <v>140</v>
      </c>
      <c r="B39" s="1">
        <v>46190</v>
      </c>
      <c r="C39" t="s">
        <v>123</v>
      </c>
      <c r="D39" t="s">
        <v>101</v>
      </c>
      <c r="E39" t="s">
        <v>56</v>
      </c>
      <c r="F39" t="s">
        <v>30</v>
      </c>
      <c r="G39" s="2">
        <v>46190.791666666657</v>
      </c>
      <c r="H39" s="2">
        <v>46191.291666666657</v>
      </c>
      <c r="I39">
        <v>12</v>
      </c>
      <c r="J39" t="s">
        <v>80</v>
      </c>
      <c r="K39" t="s">
        <v>102</v>
      </c>
    </row>
    <row r="40" spans="1:11" x14ac:dyDescent="0.2">
      <c r="A40" t="s">
        <v>141</v>
      </c>
      <c r="B40" s="1">
        <v>46190</v>
      </c>
      <c r="C40" t="s">
        <v>123</v>
      </c>
      <c r="D40" t="s">
        <v>101</v>
      </c>
      <c r="E40" t="s">
        <v>50</v>
      </c>
      <c r="F40" t="s">
        <v>23</v>
      </c>
      <c r="G40" s="2">
        <v>46190.291666666657</v>
      </c>
      <c r="H40" s="2">
        <v>46190.791666666657</v>
      </c>
      <c r="I40">
        <v>12</v>
      </c>
      <c r="J40" t="s">
        <v>88</v>
      </c>
      <c r="K40" t="s">
        <v>102</v>
      </c>
    </row>
    <row r="41" spans="1:11" x14ac:dyDescent="0.2">
      <c r="A41" t="s">
        <v>142</v>
      </c>
      <c r="B41" s="1">
        <v>46190</v>
      </c>
      <c r="C41" t="s">
        <v>123</v>
      </c>
      <c r="D41" t="s">
        <v>101</v>
      </c>
      <c r="E41" t="s">
        <v>50</v>
      </c>
      <c r="F41" t="s">
        <v>30</v>
      </c>
      <c r="G41" s="2">
        <v>46190.791666666657</v>
      </c>
      <c r="H41" s="2">
        <v>46191.291666666657</v>
      </c>
      <c r="I41">
        <v>12</v>
      </c>
      <c r="J41" t="s">
        <v>85</v>
      </c>
      <c r="K41" t="s">
        <v>102</v>
      </c>
    </row>
    <row r="42" spans="1:11" x14ac:dyDescent="0.2">
      <c r="A42" t="s">
        <v>143</v>
      </c>
      <c r="B42" s="1">
        <v>46191</v>
      </c>
      <c r="C42" t="s">
        <v>144</v>
      </c>
      <c r="D42" t="s">
        <v>101</v>
      </c>
      <c r="E42" t="s">
        <v>32</v>
      </c>
      <c r="F42" t="s">
        <v>23</v>
      </c>
      <c r="G42" s="2">
        <v>46191.291666666657</v>
      </c>
      <c r="H42" s="2">
        <v>46191.791666666657</v>
      </c>
      <c r="I42">
        <v>12</v>
      </c>
      <c r="J42" t="s">
        <v>13</v>
      </c>
      <c r="K42" t="s">
        <v>102</v>
      </c>
    </row>
    <row r="43" spans="1:11" x14ac:dyDescent="0.2">
      <c r="A43" t="s">
        <v>145</v>
      </c>
      <c r="B43" s="1">
        <v>46191</v>
      </c>
      <c r="C43" t="s">
        <v>144</v>
      </c>
      <c r="D43" t="s">
        <v>101</v>
      </c>
      <c r="E43" t="s">
        <v>32</v>
      </c>
      <c r="F43" t="s">
        <v>30</v>
      </c>
      <c r="G43" s="2">
        <v>46191.791666666657</v>
      </c>
      <c r="H43" s="2">
        <v>46192.291666666657</v>
      </c>
      <c r="I43">
        <v>12</v>
      </c>
      <c r="J43" t="s">
        <v>19</v>
      </c>
      <c r="K43" t="s">
        <v>102</v>
      </c>
    </row>
    <row r="44" spans="1:11" x14ac:dyDescent="0.2">
      <c r="A44" t="s">
        <v>146</v>
      </c>
      <c r="B44" s="1">
        <v>46191</v>
      </c>
      <c r="C44" t="s">
        <v>144</v>
      </c>
      <c r="D44" t="s">
        <v>101</v>
      </c>
      <c r="E44" t="s">
        <v>48</v>
      </c>
      <c r="F44" t="s">
        <v>23</v>
      </c>
      <c r="G44" s="2">
        <v>46191.291666666657</v>
      </c>
      <c r="H44" s="2">
        <v>46191.791666666657</v>
      </c>
      <c r="I44">
        <v>12</v>
      </c>
      <c r="J44" t="s">
        <v>37</v>
      </c>
      <c r="K44" t="s">
        <v>102</v>
      </c>
    </row>
    <row r="45" spans="1:11" x14ac:dyDescent="0.2">
      <c r="A45" t="s">
        <v>147</v>
      </c>
      <c r="B45" s="1">
        <v>46191</v>
      </c>
      <c r="C45" t="s">
        <v>144</v>
      </c>
      <c r="D45" t="s">
        <v>101</v>
      </c>
      <c r="E45" t="s">
        <v>48</v>
      </c>
      <c r="F45" t="s">
        <v>30</v>
      </c>
      <c r="G45" s="2">
        <v>46191.791666666657</v>
      </c>
      <c r="H45" s="2">
        <v>46192.291666666657</v>
      </c>
      <c r="I45">
        <v>12</v>
      </c>
      <c r="J45" t="s">
        <v>42</v>
      </c>
      <c r="K45" t="s">
        <v>102</v>
      </c>
    </row>
    <row r="46" spans="1:11" x14ac:dyDescent="0.2">
      <c r="A46" t="s">
        <v>148</v>
      </c>
      <c r="B46" s="1">
        <v>46191</v>
      </c>
      <c r="C46" t="s">
        <v>144</v>
      </c>
      <c r="D46" t="s">
        <v>101</v>
      </c>
      <c r="E46" t="s">
        <v>36</v>
      </c>
      <c r="F46" t="s">
        <v>23</v>
      </c>
      <c r="G46" s="2">
        <v>46191.291666666657</v>
      </c>
      <c r="H46" s="2">
        <v>46191.791666666657</v>
      </c>
      <c r="I46">
        <v>12</v>
      </c>
      <c r="J46" t="s">
        <v>43</v>
      </c>
      <c r="K46" t="s">
        <v>102</v>
      </c>
    </row>
    <row r="47" spans="1:11" x14ac:dyDescent="0.2">
      <c r="A47" t="s">
        <v>149</v>
      </c>
      <c r="B47" s="1">
        <v>46191</v>
      </c>
      <c r="C47" t="s">
        <v>144</v>
      </c>
      <c r="D47" t="s">
        <v>101</v>
      </c>
      <c r="E47" t="s">
        <v>36</v>
      </c>
      <c r="F47" t="s">
        <v>30</v>
      </c>
      <c r="G47" s="2">
        <v>46191.791666666657</v>
      </c>
      <c r="H47" s="2">
        <v>46192.291666666657</v>
      </c>
      <c r="I47">
        <v>12</v>
      </c>
      <c r="J47" t="s">
        <v>45</v>
      </c>
      <c r="K47" t="s">
        <v>102</v>
      </c>
    </row>
    <row r="48" spans="1:11" x14ac:dyDescent="0.2">
      <c r="A48" t="s">
        <v>150</v>
      </c>
      <c r="B48" s="1">
        <v>46191</v>
      </c>
      <c r="C48" t="s">
        <v>144</v>
      </c>
      <c r="D48" t="s">
        <v>101</v>
      </c>
      <c r="E48" t="s">
        <v>14</v>
      </c>
      <c r="F48" t="s">
        <v>23</v>
      </c>
      <c r="G48" s="2">
        <v>46191.291666666657</v>
      </c>
      <c r="H48" s="2">
        <v>46191.791666666657</v>
      </c>
      <c r="I48">
        <v>12</v>
      </c>
      <c r="J48" t="s">
        <v>52</v>
      </c>
      <c r="K48" t="s">
        <v>102</v>
      </c>
    </row>
    <row r="49" spans="1:11" x14ac:dyDescent="0.2">
      <c r="A49" t="s">
        <v>151</v>
      </c>
      <c r="B49" s="1">
        <v>46191</v>
      </c>
      <c r="C49" t="s">
        <v>144</v>
      </c>
      <c r="D49" t="s">
        <v>101</v>
      </c>
      <c r="E49" t="s">
        <v>14</v>
      </c>
      <c r="F49" t="s">
        <v>30</v>
      </c>
      <c r="G49" s="2">
        <v>46191.791666666657</v>
      </c>
      <c r="H49" s="2">
        <v>46192.291666666657</v>
      </c>
      <c r="I49">
        <v>12</v>
      </c>
      <c r="J49" t="s">
        <v>51</v>
      </c>
      <c r="K49" t="s">
        <v>102</v>
      </c>
    </row>
    <row r="50" spans="1:11" x14ac:dyDescent="0.2">
      <c r="A50" t="s">
        <v>152</v>
      </c>
      <c r="B50" s="1">
        <v>46191</v>
      </c>
      <c r="C50" t="s">
        <v>144</v>
      </c>
      <c r="D50" t="s">
        <v>101</v>
      </c>
      <c r="E50" t="s">
        <v>38</v>
      </c>
      <c r="F50" t="s">
        <v>23</v>
      </c>
      <c r="G50" s="2">
        <v>46191.291666666657</v>
      </c>
      <c r="H50" s="2">
        <v>46191.791666666657</v>
      </c>
      <c r="I50">
        <v>12</v>
      </c>
      <c r="J50" t="s">
        <v>59</v>
      </c>
      <c r="K50" t="s">
        <v>102</v>
      </c>
    </row>
    <row r="51" spans="1:11" x14ac:dyDescent="0.2">
      <c r="A51" t="s">
        <v>153</v>
      </c>
      <c r="B51" s="1">
        <v>46191</v>
      </c>
      <c r="C51" t="s">
        <v>144</v>
      </c>
      <c r="D51" t="s">
        <v>101</v>
      </c>
      <c r="E51" t="s">
        <v>38</v>
      </c>
      <c r="F51" t="s">
        <v>30</v>
      </c>
      <c r="G51" s="2">
        <v>46191.791666666657</v>
      </c>
      <c r="H51" s="2">
        <v>46192.291666666657</v>
      </c>
      <c r="I51">
        <v>12</v>
      </c>
      <c r="J51" t="s">
        <v>58</v>
      </c>
      <c r="K51" t="s">
        <v>102</v>
      </c>
    </row>
    <row r="52" spans="1:11" x14ac:dyDescent="0.2">
      <c r="A52" t="s">
        <v>154</v>
      </c>
      <c r="B52" s="1">
        <v>46191</v>
      </c>
      <c r="C52" t="s">
        <v>144</v>
      </c>
      <c r="D52" t="s">
        <v>101</v>
      </c>
      <c r="E52" t="s">
        <v>29</v>
      </c>
      <c r="F52" t="s">
        <v>23</v>
      </c>
      <c r="G52" s="2">
        <v>46191.291666666657</v>
      </c>
      <c r="H52" s="2">
        <v>46191.791666666657</v>
      </c>
      <c r="I52">
        <v>12</v>
      </c>
      <c r="J52" t="s">
        <v>66</v>
      </c>
      <c r="K52" t="s">
        <v>102</v>
      </c>
    </row>
    <row r="53" spans="1:11" x14ac:dyDescent="0.2">
      <c r="A53" t="s">
        <v>155</v>
      </c>
      <c r="B53" s="1">
        <v>46191</v>
      </c>
      <c r="C53" t="s">
        <v>144</v>
      </c>
      <c r="D53" t="s">
        <v>101</v>
      </c>
      <c r="E53" t="s">
        <v>29</v>
      </c>
      <c r="F53" t="s">
        <v>30</v>
      </c>
      <c r="G53" s="2">
        <v>46191.791666666657</v>
      </c>
      <c r="H53" s="2">
        <v>46192.291666666657</v>
      </c>
      <c r="I53">
        <v>12</v>
      </c>
      <c r="J53" t="s">
        <v>63</v>
      </c>
      <c r="K53" t="s">
        <v>102</v>
      </c>
    </row>
    <row r="54" spans="1:11" x14ac:dyDescent="0.2">
      <c r="A54" t="s">
        <v>156</v>
      </c>
      <c r="B54" s="1">
        <v>46191</v>
      </c>
      <c r="C54" t="s">
        <v>144</v>
      </c>
      <c r="D54" t="s">
        <v>101</v>
      </c>
      <c r="E54" t="s">
        <v>20</v>
      </c>
      <c r="F54" t="s">
        <v>23</v>
      </c>
      <c r="G54" s="2">
        <v>46191.291666666657</v>
      </c>
      <c r="H54" s="2">
        <v>46191.791666666657</v>
      </c>
      <c r="I54">
        <v>12</v>
      </c>
      <c r="J54" t="s">
        <v>67</v>
      </c>
      <c r="K54" t="s">
        <v>102</v>
      </c>
    </row>
    <row r="55" spans="1:11" x14ac:dyDescent="0.2">
      <c r="A55" t="s">
        <v>157</v>
      </c>
      <c r="B55" s="1">
        <v>46191</v>
      </c>
      <c r="C55" t="s">
        <v>144</v>
      </c>
      <c r="D55" t="s">
        <v>101</v>
      </c>
      <c r="E55" t="s">
        <v>20</v>
      </c>
      <c r="F55" t="s">
        <v>30</v>
      </c>
      <c r="G55" s="2">
        <v>46191.791666666657</v>
      </c>
      <c r="H55" s="2">
        <v>46192.291666666657</v>
      </c>
      <c r="I55">
        <v>12</v>
      </c>
      <c r="J55" t="s">
        <v>69</v>
      </c>
      <c r="K55" t="s">
        <v>102</v>
      </c>
    </row>
    <row r="56" spans="1:11" x14ac:dyDescent="0.2">
      <c r="A56" t="s">
        <v>158</v>
      </c>
      <c r="B56" s="1">
        <v>46191</v>
      </c>
      <c r="C56" t="s">
        <v>144</v>
      </c>
      <c r="D56" t="s">
        <v>101</v>
      </c>
      <c r="E56" t="s">
        <v>72</v>
      </c>
      <c r="F56" t="s">
        <v>23</v>
      </c>
      <c r="G56" s="2">
        <v>46191.291666666657</v>
      </c>
      <c r="H56" s="2">
        <v>46191.791666666657</v>
      </c>
      <c r="I56">
        <v>12</v>
      </c>
      <c r="J56" t="s">
        <v>75</v>
      </c>
      <c r="K56" t="s">
        <v>102</v>
      </c>
    </row>
    <row r="57" spans="1:11" x14ac:dyDescent="0.2">
      <c r="A57" t="s">
        <v>159</v>
      </c>
      <c r="B57" s="1">
        <v>46191</v>
      </c>
      <c r="C57" t="s">
        <v>144</v>
      </c>
      <c r="D57" t="s">
        <v>101</v>
      </c>
      <c r="E57" t="s">
        <v>72</v>
      </c>
      <c r="F57" t="s">
        <v>30</v>
      </c>
      <c r="G57" s="2">
        <v>46191.791666666657</v>
      </c>
      <c r="H57" s="2">
        <v>46192.291666666657</v>
      </c>
      <c r="I57">
        <v>12</v>
      </c>
      <c r="J57" t="s">
        <v>78</v>
      </c>
      <c r="K57" t="s">
        <v>102</v>
      </c>
    </row>
    <row r="58" spans="1:11" x14ac:dyDescent="0.2">
      <c r="A58" t="s">
        <v>160</v>
      </c>
      <c r="B58" s="1">
        <v>46191</v>
      </c>
      <c r="C58" t="s">
        <v>144</v>
      </c>
      <c r="D58" t="s">
        <v>101</v>
      </c>
      <c r="E58" t="s">
        <v>56</v>
      </c>
      <c r="F58" t="s">
        <v>23</v>
      </c>
      <c r="G58" s="2">
        <v>46191.291666666657</v>
      </c>
      <c r="H58" s="2">
        <v>46191.791666666657</v>
      </c>
      <c r="I58">
        <v>12</v>
      </c>
      <c r="J58" t="s">
        <v>83</v>
      </c>
      <c r="K58" t="s">
        <v>102</v>
      </c>
    </row>
    <row r="59" spans="1:11" x14ac:dyDescent="0.2">
      <c r="A59" t="s">
        <v>161</v>
      </c>
      <c r="B59" s="1">
        <v>46191</v>
      </c>
      <c r="C59" t="s">
        <v>144</v>
      </c>
      <c r="D59" t="s">
        <v>101</v>
      </c>
      <c r="E59" t="s">
        <v>56</v>
      </c>
      <c r="F59" t="s">
        <v>30</v>
      </c>
      <c r="G59" s="2">
        <v>46191.791666666657</v>
      </c>
      <c r="H59" s="2">
        <v>46192.291666666657</v>
      </c>
      <c r="I59">
        <v>12</v>
      </c>
      <c r="J59" t="s">
        <v>80</v>
      </c>
      <c r="K59" t="s">
        <v>102</v>
      </c>
    </row>
    <row r="60" spans="1:11" x14ac:dyDescent="0.2">
      <c r="A60" t="s">
        <v>162</v>
      </c>
      <c r="B60" s="1">
        <v>46191</v>
      </c>
      <c r="C60" t="s">
        <v>144</v>
      </c>
      <c r="D60" t="s">
        <v>101</v>
      </c>
      <c r="E60" t="s">
        <v>50</v>
      </c>
      <c r="F60" t="s">
        <v>23</v>
      </c>
      <c r="G60" s="2">
        <v>46191.291666666657</v>
      </c>
      <c r="H60" s="2">
        <v>46191.791666666657</v>
      </c>
      <c r="I60">
        <v>12</v>
      </c>
      <c r="J60" t="s">
        <v>87</v>
      </c>
      <c r="K60" t="s">
        <v>102</v>
      </c>
    </row>
    <row r="61" spans="1:11" x14ac:dyDescent="0.2">
      <c r="A61" t="s">
        <v>163</v>
      </c>
      <c r="B61" s="1">
        <v>46191</v>
      </c>
      <c r="C61" t="s">
        <v>144</v>
      </c>
      <c r="D61" t="s">
        <v>101</v>
      </c>
      <c r="E61" t="s">
        <v>50</v>
      </c>
      <c r="F61" t="s">
        <v>30</v>
      </c>
      <c r="G61" s="2">
        <v>46191.791666666657</v>
      </c>
      <c r="H61" s="2">
        <v>46192.291666666657</v>
      </c>
      <c r="I61">
        <v>12</v>
      </c>
      <c r="J61" t="s">
        <v>85</v>
      </c>
      <c r="K61" t="s">
        <v>102</v>
      </c>
    </row>
    <row r="62" spans="1:11" x14ac:dyDescent="0.2">
      <c r="A62" t="s">
        <v>164</v>
      </c>
      <c r="B62" s="1">
        <v>46192</v>
      </c>
      <c r="C62" t="s">
        <v>165</v>
      </c>
      <c r="D62" t="s">
        <v>101</v>
      </c>
      <c r="E62" t="s">
        <v>32</v>
      </c>
      <c r="F62" t="s">
        <v>23</v>
      </c>
      <c r="G62" s="2">
        <v>46192.291666666657</v>
      </c>
      <c r="H62" s="2">
        <v>46192.791666666657</v>
      </c>
      <c r="I62">
        <v>12</v>
      </c>
      <c r="J62" t="s">
        <v>13</v>
      </c>
      <c r="K62" t="s">
        <v>102</v>
      </c>
    </row>
    <row r="63" spans="1:11" x14ac:dyDescent="0.2">
      <c r="A63" t="s">
        <v>166</v>
      </c>
      <c r="B63" s="1">
        <v>46192</v>
      </c>
      <c r="C63" t="s">
        <v>165</v>
      </c>
      <c r="D63" t="s">
        <v>101</v>
      </c>
      <c r="E63" t="s">
        <v>32</v>
      </c>
      <c r="F63" t="s">
        <v>30</v>
      </c>
      <c r="G63" s="2">
        <v>46192.791666666657</v>
      </c>
      <c r="H63" s="2">
        <v>46193.291666666657</v>
      </c>
      <c r="I63">
        <v>12</v>
      </c>
      <c r="J63" t="s">
        <v>31</v>
      </c>
      <c r="K63" t="s">
        <v>102</v>
      </c>
    </row>
    <row r="64" spans="1:11" x14ac:dyDescent="0.2">
      <c r="A64" t="s">
        <v>167</v>
      </c>
      <c r="B64" s="1">
        <v>46192</v>
      </c>
      <c r="C64" t="s">
        <v>165</v>
      </c>
      <c r="D64" t="s">
        <v>101</v>
      </c>
      <c r="E64" t="s">
        <v>48</v>
      </c>
      <c r="F64" t="s">
        <v>23</v>
      </c>
      <c r="G64" s="2">
        <v>46192.291666666657</v>
      </c>
      <c r="H64" s="2">
        <v>46192.791666666657</v>
      </c>
      <c r="I64">
        <v>12</v>
      </c>
      <c r="J64" t="s">
        <v>37</v>
      </c>
      <c r="K64" t="s">
        <v>102</v>
      </c>
    </row>
    <row r="65" spans="1:11" x14ac:dyDescent="0.2">
      <c r="A65" t="s">
        <v>168</v>
      </c>
      <c r="B65" s="1">
        <v>46192</v>
      </c>
      <c r="C65" t="s">
        <v>165</v>
      </c>
      <c r="D65" t="s">
        <v>101</v>
      </c>
      <c r="E65" t="s">
        <v>48</v>
      </c>
      <c r="F65" t="s">
        <v>30</v>
      </c>
      <c r="G65" s="2">
        <v>46192.791666666657</v>
      </c>
      <c r="H65" s="2">
        <v>46193.291666666657</v>
      </c>
      <c r="I65">
        <v>12</v>
      </c>
      <c r="J65" t="s">
        <v>40</v>
      </c>
      <c r="K65" t="s">
        <v>102</v>
      </c>
    </row>
    <row r="66" spans="1:11" x14ac:dyDescent="0.2">
      <c r="A66" t="s">
        <v>169</v>
      </c>
      <c r="B66" s="1">
        <v>46192</v>
      </c>
      <c r="C66" t="s">
        <v>165</v>
      </c>
      <c r="D66" t="s">
        <v>101</v>
      </c>
      <c r="E66" t="s">
        <v>36</v>
      </c>
      <c r="F66" t="s">
        <v>23</v>
      </c>
      <c r="G66" s="2">
        <v>46192.291666666657</v>
      </c>
      <c r="H66" s="2">
        <v>46192.791666666657</v>
      </c>
      <c r="I66">
        <v>12</v>
      </c>
      <c r="J66" t="s">
        <v>44</v>
      </c>
      <c r="K66" t="s">
        <v>102</v>
      </c>
    </row>
    <row r="67" spans="1:11" x14ac:dyDescent="0.2">
      <c r="A67" t="s">
        <v>170</v>
      </c>
      <c r="B67" s="1">
        <v>46192</v>
      </c>
      <c r="C67" t="s">
        <v>165</v>
      </c>
      <c r="D67" t="s">
        <v>101</v>
      </c>
      <c r="E67" t="s">
        <v>36</v>
      </c>
      <c r="F67" t="s">
        <v>30</v>
      </c>
      <c r="G67" s="2">
        <v>46192.791666666657</v>
      </c>
      <c r="H67" s="2">
        <v>46193.291666666657</v>
      </c>
      <c r="I67">
        <v>12</v>
      </c>
      <c r="J67" t="s">
        <v>46</v>
      </c>
      <c r="K67" t="s">
        <v>102</v>
      </c>
    </row>
    <row r="68" spans="1:11" x14ac:dyDescent="0.2">
      <c r="A68" t="s">
        <v>171</v>
      </c>
      <c r="B68" s="1">
        <v>46192</v>
      </c>
      <c r="C68" t="s">
        <v>165</v>
      </c>
      <c r="D68" t="s">
        <v>101</v>
      </c>
      <c r="E68" t="s">
        <v>14</v>
      </c>
      <c r="F68" t="s">
        <v>23</v>
      </c>
      <c r="G68" s="2">
        <v>46192.291666666657</v>
      </c>
      <c r="H68" s="2">
        <v>46192.791666666657</v>
      </c>
      <c r="I68">
        <v>12</v>
      </c>
      <c r="J68" t="s">
        <v>53</v>
      </c>
      <c r="K68" t="s">
        <v>102</v>
      </c>
    </row>
    <row r="69" spans="1:11" x14ac:dyDescent="0.2">
      <c r="A69" t="s">
        <v>172</v>
      </c>
      <c r="B69" s="1">
        <v>46192</v>
      </c>
      <c r="C69" t="s">
        <v>165</v>
      </c>
      <c r="D69" t="s">
        <v>101</v>
      </c>
      <c r="E69" t="s">
        <v>14</v>
      </c>
      <c r="F69" t="s">
        <v>30</v>
      </c>
      <c r="G69" s="2">
        <v>46192.791666666657</v>
      </c>
      <c r="H69" s="2">
        <v>46193.291666666657</v>
      </c>
      <c r="I69">
        <v>12</v>
      </c>
      <c r="J69" t="s">
        <v>54</v>
      </c>
      <c r="K69" t="s">
        <v>102</v>
      </c>
    </row>
    <row r="70" spans="1:11" x14ac:dyDescent="0.2">
      <c r="A70" t="s">
        <v>173</v>
      </c>
      <c r="B70" s="1">
        <v>46192</v>
      </c>
      <c r="C70" t="s">
        <v>165</v>
      </c>
      <c r="D70" t="s">
        <v>101</v>
      </c>
      <c r="E70" t="s">
        <v>38</v>
      </c>
      <c r="F70" t="s">
        <v>23</v>
      </c>
      <c r="G70" s="2">
        <v>46192.291666666657</v>
      </c>
      <c r="H70" s="2">
        <v>46192.791666666657</v>
      </c>
      <c r="I70">
        <v>12</v>
      </c>
      <c r="J70" t="s">
        <v>59</v>
      </c>
      <c r="K70" t="s">
        <v>102</v>
      </c>
    </row>
    <row r="71" spans="1:11" x14ac:dyDescent="0.2">
      <c r="A71" t="s">
        <v>174</v>
      </c>
      <c r="B71" s="1">
        <v>46192</v>
      </c>
      <c r="C71" t="s">
        <v>165</v>
      </c>
      <c r="D71" t="s">
        <v>101</v>
      </c>
      <c r="E71" t="s">
        <v>38</v>
      </c>
      <c r="F71" t="s">
        <v>30</v>
      </c>
      <c r="G71" s="2">
        <v>46192.791666666657</v>
      </c>
      <c r="H71" s="2">
        <v>46193.291666666657</v>
      </c>
      <c r="I71">
        <v>12</v>
      </c>
      <c r="J71" t="s">
        <v>58</v>
      </c>
      <c r="K71" t="s">
        <v>102</v>
      </c>
    </row>
    <row r="72" spans="1:11" x14ac:dyDescent="0.2">
      <c r="A72" t="s">
        <v>175</v>
      </c>
      <c r="B72" s="1">
        <v>46192</v>
      </c>
      <c r="C72" t="s">
        <v>165</v>
      </c>
      <c r="D72" t="s">
        <v>101</v>
      </c>
      <c r="E72" t="s">
        <v>29</v>
      </c>
      <c r="F72" t="s">
        <v>23</v>
      </c>
      <c r="G72" s="2">
        <v>46192.291666666657</v>
      </c>
      <c r="H72" s="2">
        <v>46192.791666666657</v>
      </c>
      <c r="I72">
        <v>12</v>
      </c>
      <c r="J72" t="s">
        <v>62</v>
      </c>
      <c r="K72" t="s">
        <v>102</v>
      </c>
    </row>
    <row r="73" spans="1:11" x14ac:dyDescent="0.2">
      <c r="A73" t="s">
        <v>176</v>
      </c>
      <c r="B73" s="1">
        <v>46192</v>
      </c>
      <c r="C73" t="s">
        <v>165</v>
      </c>
      <c r="D73" t="s">
        <v>101</v>
      </c>
      <c r="E73" t="s">
        <v>29</v>
      </c>
      <c r="F73" t="s">
        <v>30</v>
      </c>
      <c r="G73" s="2">
        <v>46192.791666666657</v>
      </c>
      <c r="H73" s="2">
        <v>46193.291666666657</v>
      </c>
      <c r="I73">
        <v>12</v>
      </c>
      <c r="J73" t="s">
        <v>64</v>
      </c>
      <c r="K73" t="s">
        <v>102</v>
      </c>
    </row>
    <row r="74" spans="1:11" x14ac:dyDescent="0.2">
      <c r="A74" t="s">
        <v>177</v>
      </c>
      <c r="B74" s="1">
        <v>46192</v>
      </c>
      <c r="C74" t="s">
        <v>165</v>
      </c>
      <c r="D74" t="s">
        <v>101</v>
      </c>
      <c r="E74" t="s">
        <v>20</v>
      </c>
      <c r="F74" t="s">
        <v>23</v>
      </c>
      <c r="G74" s="2">
        <v>46192.291666666657</v>
      </c>
      <c r="H74" s="2">
        <v>46192.791666666657</v>
      </c>
      <c r="I74">
        <v>12</v>
      </c>
      <c r="J74" t="s">
        <v>70</v>
      </c>
      <c r="K74" t="s">
        <v>102</v>
      </c>
    </row>
    <row r="75" spans="1:11" x14ac:dyDescent="0.2">
      <c r="A75" t="s">
        <v>178</v>
      </c>
      <c r="B75" s="1">
        <v>46192</v>
      </c>
      <c r="C75" t="s">
        <v>165</v>
      </c>
      <c r="D75" t="s">
        <v>101</v>
      </c>
      <c r="E75" t="s">
        <v>20</v>
      </c>
      <c r="F75" t="s">
        <v>30</v>
      </c>
      <c r="G75" s="2">
        <v>46192.791666666657</v>
      </c>
      <c r="H75" s="2">
        <v>46193.291666666657</v>
      </c>
      <c r="I75">
        <v>12</v>
      </c>
      <c r="J75" t="s">
        <v>68</v>
      </c>
      <c r="K75" t="s">
        <v>102</v>
      </c>
    </row>
    <row r="76" spans="1:11" x14ac:dyDescent="0.2">
      <c r="A76" t="s">
        <v>179</v>
      </c>
      <c r="B76" s="1">
        <v>46192</v>
      </c>
      <c r="C76" t="s">
        <v>165</v>
      </c>
      <c r="D76" t="s">
        <v>101</v>
      </c>
      <c r="E76" t="s">
        <v>72</v>
      </c>
      <c r="F76" t="s">
        <v>23</v>
      </c>
      <c r="G76" s="2">
        <v>46192.291666666657</v>
      </c>
      <c r="H76" s="2">
        <v>46192.791666666657</v>
      </c>
      <c r="I76">
        <v>12</v>
      </c>
      <c r="J76" t="s">
        <v>74</v>
      </c>
      <c r="K76" t="s">
        <v>102</v>
      </c>
    </row>
    <row r="77" spans="1:11" x14ac:dyDescent="0.2">
      <c r="A77" t="s">
        <v>180</v>
      </c>
      <c r="B77" s="1">
        <v>46192</v>
      </c>
      <c r="C77" t="s">
        <v>165</v>
      </c>
      <c r="D77" t="s">
        <v>101</v>
      </c>
      <c r="E77" t="s">
        <v>72</v>
      </c>
      <c r="F77" t="s">
        <v>30</v>
      </c>
      <c r="G77" s="2">
        <v>46192.791666666657</v>
      </c>
      <c r="H77" s="2">
        <v>46193.291666666657</v>
      </c>
      <c r="I77">
        <v>12</v>
      </c>
      <c r="J77" t="s">
        <v>75</v>
      </c>
      <c r="K77" t="s">
        <v>102</v>
      </c>
    </row>
    <row r="78" spans="1:11" x14ac:dyDescent="0.2">
      <c r="A78" t="s">
        <v>181</v>
      </c>
      <c r="B78" s="1">
        <v>46192</v>
      </c>
      <c r="C78" t="s">
        <v>165</v>
      </c>
      <c r="D78" t="s">
        <v>101</v>
      </c>
      <c r="E78" t="s">
        <v>56</v>
      </c>
      <c r="F78" t="s">
        <v>23</v>
      </c>
      <c r="G78" s="2">
        <v>46192.291666666657</v>
      </c>
      <c r="H78" s="2">
        <v>46192.791666666657</v>
      </c>
      <c r="I78">
        <v>12</v>
      </c>
      <c r="J78" t="s">
        <v>79</v>
      </c>
      <c r="K78" t="s">
        <v>102</v>
      </c>
    </row>
    <row r="79" spans="1:11" x14ac:dyDescent="0.2">
      <c r="A79" t="s">
        <v>182</v>
      </c>
      <c r="B79" s="1">
        <v>46192</v>
      </c>
      <c r="C79" t="s">
        <v>165</v>
      </c>
      <c r="D79" t="s">
        <v>101</v>
      </c>
      <c r="E79" t="s">
        <v>56</v>
      </c>
      <c r="F79" t="s">
        <v>30</v>
      </c>
      <c r="G79" s="2">
        <v>46192.791666666657</v>
      </c>
      <c r="H79" s="2">
        <v>46193.291666666657</v>
      </c>
      <c r="I79">
        <v>12</v>
      </c>
      <c r="J79" t="s">
        <v>80</v>
      </c>
      <c r="K79" t="s">
        <v>102</v>
      </c>
    </row>
    <row r="80" spans="1:11" x14ac:dyDescent="0.2">
      <c r="A80" t="s">
        <v>183</v>
      </c>
      <c r="B80" s="1">
        <v>46192</v>
      </c>
      <c r="C80" t="s">
        <v>165</v>
      </c>
      <c r="D80" t="s">
        <v>101</v>
      </c>
      <c r="E80" t="s">
        <v>50</v>
      </c>
      <c r="F80" t="s">
        <v>23</v>
      </c>
      <c r="G80" s="2">
        <v>46192.291666666657</v>
      </c>
      <c r="H80" s="2">
        <v>46192.791666666657</v>
      </c>
      <c r="I80">
        <v>12</v>
      </c>
      <c r="J80" t="s">
        <v>86</v>
      </c>
      <c r="K80" t="s">
        <v>102</v>
      </c>
    </row>
    <row r="81" spans="1:11" x14ac:dyDescent="0.2">
      <c r="A81" t="s">
        <v>184</v>
      </c>
      <c r="B81" s="1">
        <v>46192</v>
      </c>
      <c r="C81" t="s">
        <v>165</v>
      </c>
      <c r="D81" t="s">
        <v>101</v>
      </c>
      <c r="E81" t="s">
        <v>50</v>
      </c>
      <c r="F81" t="s">
        <v>30</v>
      </c>
      <c r="G81" s="2">
        <v>46192.791666666657</v>
      </c>
      <c r="H81" s="2">
        <v>46193.291666666657</v>
      </c>
      <c r="I81">
        <v>12</v>
      </c>
      <c r="J81" t="s">
        <v>85</v>
      </c>
      <c r="K81" t="s">
        <v>102</v>
      </c>
    </row>
    <row r="82" spans="1:11" x14ac:dyDescent="0.2">
      <c r="A82" t="s">
        <v>185</v>
      </c>
      <c r="B82" s="1">
        <v>46193</v>
      </c>
      <c r="C82" t="s">
        <v>186</v>
      </c>
      <c r="D82" t="s">
        <v>101</v>
      </c>
      <c r="E82" t="s">
        <v>32</v>
      </c>
      <c r="F82" t="s">
        <v>23</v>
      </c>
      <c r="G82" s="2">
        <v>46193.291666666657</v>
      </c>
      <c r="H82" s="2">
        <v>46193.791666666657</v>
      </c>
      <c r="I82">
        <v>12</v>
      </c>
      <c r="J82" t="s">
        <v>13</v>
      </c>
      <c r="K82" t="s">
        <v>102</v>
      </c>
    </row>
    <row r="83" spans="1:11" x14ac:dyDescent="0.2">
      <c r="A83" t="s">
        <v>187</v>
      </c>
      <c r="B83" s="1">
        <v>46193</v>
      </c>
      <c r="C83" t="s">
        <v>186</v>
      </c>
      <c r="D83" t="s">
        <v>101</v>
      </c>
      <c r="E83" t="s">
        <v>32</v>
      </c>
      <c r="F83" t="s">
        <v>30</v>
      </c>
      <c r="G83" s="2">
        <v>46193.791666666657</v>
      </c>
      <c r="H83" s="2">
        <v>46194.291666666657</v>
      </c>
      <c r="I83">
        <v>12</v>
      </c>
      <c r="J83" t="s">
        <v>19</v>
      </c>
      <c r="K83" t="s">
        <v>102</v>
      </c>
    </row>
    <row r="84" spans="1:11" x14ac:dyDescent="0.2">
      <c r="A84" t="s">
        <v>188</v>
      </c>
      <c r="B84" s="1">
        <v>46193</v>
      </c>
      <c r="C84" t="s">
        <v>186</v>
      </c>
      <c r="D84" t="s">
        <v>101</v>
      </c>
      <c r="E84" t="s">
        <v>48</v>
      </c>
      <c r="F84" t="s">
        <v>23</v>
      </c>
      <c r="G84" s="2">
        <v>46193.291666666657</v>
      </c>
      <c r="H84" s="2">
        <v>46193.791666666657</v>
      </c>
      <c r="I84">
        <v>12</v>
      </c>
      <c r="J84" t="s">
        <v>41</v>
      </c>
      <c r="K84" t="s">
        <v>102</v>
      </c>
    </row>
    <row r="85" spans="1:11" x14ac:dyDescent="0.2">
      <c r="A85" t="s">
        <v>189</v>
      </c>
      <c r="B85" s="1">
        <v>46193</v>
      </c>
      <c r="C85" t="s">
        <v>186</v>
      </c>
      <c r="D85" t="s">
        <v>101</v>
      </c>
      <c r="E85" t="s">
        <v>48</v>
      </c>
      <c r="F85" t="s">
        <v>30</v>
      </c>
      <c r="G85" s="2">
        <v>46193.791666666657</v>
      </c>
      <c r="H85" s="2">
        <v>46194.291666666657</v>
      </c>
      <c r="I85">
        <v>12</v>
      </c>
      <c r="J85" t="s">
        <v>42</v>
      </c>
      <c r="K85" t="s">
        <v>102</v>
      </c>
    </row>
    <row r="86" spans="1:11" x14ac:dyDescent="0.2">
      <c r="A86" t="s">
        <v>190</v>
      </c>
      <c r="B86" s="1">
        <v>46193</v>
      </c>
      <c r="C86" t="s">
        <v>186</v>
      </c>
      <c r="D86" t="s">
        <v>101</v>
      </c>
      <c r="E86" t="s">
        <v>36</v>
      </c>
      <c r="F86" t="s">
        <v>23</v>
      </c>
      <c r="G86" s="2">
        <v>46193.291666666657</v>
      </c>
      <c r="H86" s="2">
        <v>46193.791666666657</v>
      </c>
      <c r="I86">
        <v>12</v>
      </c>
      <c r="J86" t="s">
        <v>45</v>
      </c>
      <c r="K86" t="s">
        <v>102</v>
      </c>
    </row>
    <row r="87" spans="1:11" x14ac:dyDescent="0.2">
      <c r="A87" t="s">
        <v>191</v>
      </c>
      <c r="B87" s="1">
        <v>46193</v>
      </c>
      <c r="C87" t="s">
        <v>186</v>
      </c>
      <c r="D87" t="s">
        <v>101</v>
      </c>
      <c r="E87" t="s">
        <v>36</v>
      </c>
      <c r="F87" t="s">
        <v>30</v>
      </c>
      <c r="G87" s="2">
        <v>46193.791666666657</v>
      </c>
      <c r="H87" s="2">
        <v>46194.291666666657</v>
      </c>
      <c r="I87">
        <v>12</v>
      </c>
      <c r="J87" t="s">
        <v>44</v>
      </c>
      <c r="K87" t="s">
        <v>102</v>
      </c>
    </row>
    <row r="88" spans="1:11" x14ac:dyDescent="0.2">
      <c r="A88" t="s">
        <v>192</v>
      </c>
      <c r="B88" s="1">
        <v>46193</v>
      </c>
      <c r="C88" t="s">
        <v>186</v>
      </c>
      <c r="D88" t="s">
        <v>101</v>
      </c>
      <c r="E88" t="s">
        <v>14</v>
      </c>
      <c r="F88" t="s">
        <v>23</v>
      </c>
      <c r="G88" s="2">
        <v>46193.291666666657</v>
      </c>
      <c r="H88" s="2">
        <v>46193.791666666657</v>
      </c>
      <c r="I88">
        <v>12</v>
      </c>
      <c r="J88" t="s">
        <v>49</v>
      </c>
      <c r="K88" t="s">
        <v>102</v>
      </c>
    </row>
    <row r="89" spans="1:11" x14ac:dyDescent="0.2">
      <c r="A89" t="s">
        <v>193</v>
      </c>
      <c r="B89" s="1">
        <v>46193</v>
      </c>
      <c r="C89" t="s">
        <v>186</v>
      </c>
      <c r="D89" t="s">
        <v>101</v>
      </c>
      <c r="E89" t="s">
        <v>14</v>
      </c>
      <c r="F89" t="s">
        <v>30</v>
      </c>
      <c r="G89" s="2">
        <v>46193.791666666657</v>
      </c>
      <c r="H89" s="2">
        <v>46194.291666666657</v>
      </c>
      <c r="I89">
        <v>12</v>
      </c>
      <c r="J89" t="s">
        <v>53</v>
      </c>
      <c r="K89" t="s">
        <v>102</v>
      </c>
    </row>
    <row r="90" spans="1:11" x14ac:dyDescent="0.2">
      <c r="A90" t="s">
        <v>194</v>
      </c>
      <c r="B90" s="1">
        <v>46193</v>
      </c>
      <c r="C90" t="s">
        <v>186</v>
      </c>
      <c r="D90" t="s">
        <v>101</v>
      </c>
      <c r="E90" t="s">
        <v>38</v>
      </c>
      <c r="F90" t="s">
        <v>23</v>
      </c>
      <c r="G90" s="2">
        <v>46193.291666666657</v>
      </c>
      <c r="H90" s="2">
        <v>46193.791666666657</v>
      </c>
      <c r="I90">
        <v>12</v>
      </c>
      <c r="J90" t="s">
        <v>58</v>
      </c>
      <c r="K90" t="s">
        <v>102</v>
      </c>
    </row>
    <row r="91" spans="1:11" x14ac:dyDescent="0.2">
      <c r="A91" t="s">
        <v>195</v>
      </c>
      <c r="B91" s="1">
        <v>46193</v>
      </c>
      <c r="C91" t="s">
        <v>186</v>
      </c>
      <c r="D91" t="s">
        <v>101</v>
      </c>
      <c r="E91" t="s">
        <v>38</v>
      </c>
      <c r="F91" t="s">
        <v>30</v>
      </c>
      <c r="G91" s="2">
        <v>46193.791666666657</v>
      </c>
      <c r="H91" s="2">
        <v>46194.291666666657</v>
      </c>
      <c r="I91">
        <v>12</v>
      </c>
      <c r="J91" t="s">
        <v>59</v>
      </c>
      <c r="K91" t="s">
        <v>102</v>
      </c>
    </row>
    <row r="92" spans="1:11" x14ac:dyDescent="0.2">
      <c r="A92" t="s">
        <v>196</v>
      </c>
      <c r="B92" s="1">
        <v>46193</v>
      </c>
      <c r="C92" t="s">
        <v>186</v>
      </c>
      <c r="D92" t="s">
        <v>101</v>
      </c>
      <c r="E92" t="s">
        <v>29</v>
      </c>
      <c r="F92" t="s">
        <v>23</v>
      </c>
      <c r="G92" s="2">
        <v>46193.291666666657</v>
      </c>
      <c r="H92" s="2">
        <v>46193.791666666657</v>
      </c>
      <c r="I92">
        <v>12</v>
      </c>
      <c r="J92" t="s">
        <v>65</v>
      </c>
      <c r="K92" t="s">
        <v>102</v>
      </c>
    </row>
    <row r="93" spans="1:11" x14ac:dyDescent="0.2">
      <c r="A93" t="s">
        <v>197</v>
      </c>
      <c r="B93" s="1">
        <v>46193</v>
      </c>
      <c r="C93" t="s">
        <v>186</v>
      </c>
      <c r="D93" t="s">
        <v>101</v>
      </c>
      <c r="E93" t="s">
        <v>29</v>
      </c>
      <c r="F93" t="s">
        <v>30</v>
      </c>
      <c r="G93" s="2">
        <v>46193.791666666657</v>
      </c>
      <c r="H93" s="2">
        <v>46194.291666666657</v>
      </c>
      <c r="I93">
        <v>12</v>
      </c>
      <c r="J93" t="s">
        <v>66</v>
      </c>
      <c r="K93" t="s">
        <v>102</v>
      </c>
    </row>
    <row r="94" spans="1:11" x14ac:dyDescent="0.2">
      <c r="A94" t="s">
        <v>198</v>
      </c>
      <c r="B94" s="1">
        <v>46193</v>
      </c>
      <c r="C94" t="s">
        <v>186</v>
      </c>
      <c r="D94" t="s">
        <v>101</v>
      </c>
      <c r="E94" t="s">
        <v>20</v>
      </c>
      <c r="F94" t="s">
        <v>23</v>
      </c>
      <c r="G94" s="2">
        <v>46193.291666666657</v>
      </c>
      <c r="H94" s="2">
        <v>46193.791666666657</v>
      </c>
      <c r="I94">
        <v>12</v>
      </c>
      <c r="J94" t="s">
        <v>71</v>
      </c>
      <c r="K94" t="s">
        <v>102</v>
      </c>
    </row>
    <row r="95" spans="1:11" x14ac:dyDescent="0.2">
      <c r="A95" t="s">
        <v>199</v>
      </c>
      <c r="B95" s="1">
        <v>46193</v>
      </c>
      <c r="C95" t="s">
        <v>186</v>
      </c>
      <c r="D95" t="s">
        <v>101</v>
      </c>
      <c r="E95" t="s">
        <v>20</v>
      </c>
      <c r="F95" t="s">
        <v>30</v>
      </c>
      <c r="G95" s="2">
        <v>46193.791666666657</v>
      </c>
      <c r="H95" s="2">
        <v>46194.291666666657</v>
      </c>
      <c r="I95">
        <v>12</v>
      </c>
      <c r="J95" t="s">
        <v>67</v>
      </c>
      <c r="K95" t="s">
        <v>102</v>
      </c>
    </row>
    <row r="96" spans="1:11" x14ac:dyDescent="0.2">
      <c r="A96" t="s">
        <v>200</v>
      </c>
      <c r="B96" s="1">
        <v>46193</v>
      </c>
      <c r="C96" t="s">
        <v>186</v>
      </c>
      <c r="D96" t="s">
        <v>101</v>
      </c>
      <c r="E96" t="s">
        <v>72</v>
      </c>
      <c r="F96" t="s">
        <v>23</v>
      </c>
      <c r="G96" s="2">
        <v>46193.291666666657</v>
      </c>
      <c r="H96" s="2">
        <v>46193.791666666657</v>
      </c>
      <c r="I96">
        <v>12</v>
      </c>
      <c r="J96" t="s">
        <v>74</v>
      </c>
      <c r="K96" t="s">
        <v>102</v>
      </c>
    </row>
    <row r="97" spans="1:11" x14ac:dyDescent="0.2">
      <c r="A97" t="s">
        <v>201</v>
      </c>
      <c r="B97" s="1">
        <v>46193</v>
      </c>
      <c r="C97" t="s">
        <v>186</v>
      </c>
      <c r="D97" t="s">
        <v>101</v>
      </c>
      <c r="E97" t="s">
        <v>72</v>
      </c>
      <c r="F97" t="s">
        <v>30</v>
      </c>
      <c r="G97" s="2">
        <v>46193.791666666657</v>
      </c>
      <c r="H97" s="2">
        <v>46194.291666666657</v>
      </c>
      <c r="I97">
        <v>12</v>
      </c>
      <c r="J97" t="s">
        <v>75</v>
      </c>
      <c r="K97" t="s">
        <v>102</v>
      </c>
    </row>
    <row r="98" spans="1:11" x14ac:dyDescent="0.2">
      <c r="A98" t="s">
        <v>202</v>
      </c>
      <c r="B98" s="1">
        <v>46193</v>
      </c>
      <c r="C98" t="s">
        <v>186</v>
      </c>
      <c r="D98" t="s">
        <v>101</v>
      </c>
      <c r="E98" t="s">
        <v>56</v>
      </c>
      <c r="F98" t="s">
        <v>23</v>
      </c>
      <c r="G98" s="2">
        <v>46193.291666666657</v>
      </c>
      <c r="H98" s="2">
        <v>46193.791666666657</v>
      </c>
      <c r="I98">
        <v>12</v>
      </c>
      <c r="J98" t="s">
        <v>79</v>
      </c>
      <c r="K98" t="s">
        <v>102</v>
      </c>
    </row>
    <row r="99" spans="1:11" x14ac:dyDescent="0.2">
      <c r="A99" t="s">
        <v>203</v>
      </c>
      <c r="B99" s="1">
        <v>46193</v>
      </c>
      <c r="C99" t="s">
        <v>186</v>
      </c>
      <c r="D99" t="s">
        <v>101</v>
      </c>
      <c r="E99" t="s">
        <v>56</v>
      </c>
      <c r="F99" t="s">
        <v>30</v>
      </c>
      <c r="G99" s="2">
        <v>46193.791666666657</v>
      </c>
      <c r="H99" s="2">
        <v>46194.291666666657</v>
      </c>
      <c r="I99">
        <v>12</v>
      </c>
      <c r="J99" t="s">
        <v>80</v>
      </c>
      <c r="K99" t="s">
        <v>102</v>
      </c>
    </row>
    <row r="100" spans="1:11" x14ac:dyDescent="0.2">
      <c r="A100" t="s">
        <v>204</v>
      </c>
      <c r="B100" s="1">
        <v>46193</v>
      </c>
      <c r="C100" t="s">
        <v>186</v>
      </c>
      <c r="D100" t="s">
        <v>101</v>
      </c>
      <c r="E100" t="s">
        <v>50</v>
      </c>
      <c r="F100" t="s">
        <v>23</v>
      </c>
      <c r="G100" s="2">
        <v>46193.291666666657</v>
      </c>
      <c r="H100" s="2">
        <v>46193.791666666657</v>
      </c>
      <c r="I100">
        <v>12</v>
      </c>
      <c r="J100" t="s">
        <v>85</v>
      </c>
      <c r="K100" t="s">
        <v>102</v>
      </c>
    </row>
    <row r="101" spans="1:11" x14ac:dyDescent="0.2">
      <c r="A101" t="s">
        <v>205</v>
      </c>
      <c r="B101" s="1">
        <v>46193</v>
      </c>
      <c r="C101" t="s">
        <v>186</v>
      </c>
      <c r="D101" t="s">
        <v>101</v>
      </c>
      <c r="E101" t="s">
        <v>50</v>
      </c>
      <c r="F101" t="s">
        <v>30</v>
      </c>
      <c r="G101" s="2">
        <v>46193.791666666657</v>
      </c>
      <c r="H101" s="2">
        <v>46194.291666666657</v>
      </c>
      <c r="I101">
        <v>12</v>
      </c>
      <c r="J101" t="s">
        <v>84</v>
      </c>
      <c r="K101" t="s">
        <v>102</v>
      </c>
    </row>
    <row r="102" spans="1:11" x14ac:dyDescent="0.2">
      <c r="A102" t="s">
        <v>206</v>
      </c>
      <c r="B102" s="1">
        <v>46194</v>
      </c>
      <c r="C102" t="s">
        <v>207</v>
      </c>
      <c r="D102" t="s">
        <v>101</v>
      </c>
      <c r="E102" t="s">
        <v>32</v>
      </c>
      <c r="F102" t="s">
        <v>23</v>
      </c>
      <c r="G102" s="2">
        <v>46194.291666666657</v>
      </c>
      <c r="H102" s="2">
        <v>46194.791666666657</v>
      </c>
      <c r="I102">
        <v>12</v>
      </c>
      <c r="J102" t="s">
        <v>13</v>
      </c>
      <c r="K102" t="s">
        <v>102</v>
      </c>
    </row>
    <row r="103" spans="1:11" x14ac:dyDescent="0.2">
      <c r="A103" t="s">
        <v>208</v>
      </c>
      <c r="B103" s="1">
        <v>46194</v>
      </c>
      <c r="C103" t="s">
        <v>207</v>
      </c>
      <c r="D103" t="s">
        <v>101</v>
      </c>
      <c r="E103" t="s">
        <v>32</v>
      </c>
      <c r="F103" t="s">
        <v>30</v>
      </c>
      <c r="G103" s="2">
        <v>46194.791666666657</v>
      </c>
      <c r="H103" s="2">
        <v>46195.291666666657</v>
      </c>
      <c r="I103">
        <v>12</v>
      </c>
      <c r="J103" t="s">
        <v>19</v>
      </c>
      <c r="K103" t="s">
        <v>102</v>
      </c>
    </row>
    <row r="104" spans="1:11" x14ac:dyDescent="0.2">
      <c r="A104" t="s">
        <v>209</v>
      </c>
      <c r="B104" s="1">
        <v>46194</v>
      </c>
      <c r="C104" t="s">
        <v>207</v>
      </c>
      <c r="D104" t="s">
        <v>101</v>
      </c>
      <c r="E104" t="s">
        <v>48</v>
      </c>
      <c r="F104" t="s">
        <v>23</v>
      </c>
      <c r="G104" s="2">
        <v>46194.291666666657</v>
      </c>
      <c r="H104" s="2">
        <v>46194.791666666657</v>
      </c>
      <c r="I104">
        <v>12</v>
      </c>
      <c r="J104" t="s">
        <v>40</v>
      </c>
      <c r="K104" t="s">
        <v>102</v>
      </c>
    </row>
    <row r="105" spans="1:11" x14ac:dyDescent="0.2">
      <c r="A105" t="s">
        <v>210</v>
      </c>
      <c r="B105" s="1">
        <v>46194</v>
      </c>
      <c r="C105" t="s">
        <v>207</v>
      </c>
      <c r="D105" t="s">
        <v>101</v>
      </c>
      <c r="E105" t="s">
        <v>48</v>
      </c>
      <c r="F105" t="s">
        <v>30</v>
      </c>
      <c r="G105" s="2">
        <v>46194.791666666657</v>
      </c>
      <c r="H105" s="2">
        <v>46195.291666666657</v>
      </c>
      <c r="I105">
        <v>12</v>
      </c>
      <c r="J105" t="s">
        <v>41</v>
      </c>
      <c r="K105" t="s">
        <v>102</v>
      </c>
    </row>
    <row r="106" spans="1:11" x14ac:dyDescent="0.2">
      <c r="A106" t="s">
        <v>211</v>
      </c>
      <c r="B106" s="1">
        <v>46194</v>
      </c>
      <c r="C106" t="s">
        <v>207</v>
      </c>
      <c r="D106" t="s">
        <v>101</v>
      </c>
      <c r="E106" t="s">
        <v>36</v>
      </c>
      <c r="F106" t="s">
        <v>23</v>
      </c>
      <c r="G106" s="2">
        <v>46194.291666666657</v>
      </c>
      <c r="H106" s="2">
        <v>46194.791666666657</v>
      </c>
      <c r="I106">
        <v>12</v>
      </c>
      <c r="J106" t="s">
        <v>46</v>
      </c>
      <c r="K106" t="s">
        <v>102</v>
      </c>
    </row>
    <row r="107" spans="1:11" x14ac:dyDescent="0.2">
      <c r="A107" t="s">
        <v>212</v>
      </c>
      <c r="B107" s="1">
        <v>46194</v>
      </c>
      <c r="C107" t="s">
        <v>207</v>
      </c>
      <c r="D107" t="s">
        <v>101</v>
      </c>
      <c r="E107" t="s">
        <v>36</v>
      </c>
      <c r="F107" t="s">
        <v>30</v>
      </c>
      <c r="G107" s="2">
        <v>46194.791666666657</v>
      </c>
      <c r="H107" s="2">
        <v>46195.291666666657</v>
      </c>
      <c r="I107">
        <v>12</v>
      </c>
      <c r="J107" t="s">
        <v>45</v>
      </c>
      <c r="K107" t="s">
        <v>102</v>
      </c>
    </row>
    <row r="108" spans="1:11" x14ac:dyDescent="0.2">
      <c r="A108" t="s">
        <v>213</v>
      </c>
      <c r="B108" s="1">
        <v>46194</v>
      </c>
      <c r="C108" t="s">
        <v>207</v>
      </c>
      <c r="D108" t="s">
        <v>101</v>
      </c>
      <c r="E108" t="s">
        <v>14</v>
      </c>
      <c r="F108" t="s">
        <v>23</v>
      </c>
      <c r="G108" s="2">
        <v>46194.291666666657</v>
      </c>
      <c r="H108" s="2">
        <v>46194.791666666657</v>
      </c>
      <c r="I108">
        <v>12</v>
      </c>
      <c r="J108" t="s">
        <v>49</v>
      </c>
      <c r="K108" t="s">
        <v>102</v>
      </c>
    </row>
    <row r="109" spans="1:11" x14ac:dyDescent="0.2">
      <c r="A109" t="s">
        <v>214</v>
      </c>
      <c r="B109" s="1">
        <v>46194</v>
      </c>
      <c r="C109" t="s">
        <v>207</v>
      </c>
      <c r="D109" t="s">
        <v>101</v>
      </c>
      <c r="E109" t="s">
        <v>14</v>
      </c>
      <c r="F109" t="s">
        <v>30</v>
      </c>
      <c r="G109" s="2">
        <v>46194.791666666657</v>
      </c>
      <c r="H109" s="2">
        <v>46195.291666666657</v>
      </c>
      <c r="I109">
        <v>12</v>
      </c>
      <c r="J109" t="s">
        <v>54</v>
      </c>
      <c r="K109" t="s">
        <v>102</v>
      </c>
    </row>
    <row r="110" spans="1:11" x14ac:dyDescent="0.2">
      <c r="A110" t="s">
        <v>215</v>
      </c>
      <c r="B110" s="1">
        <v>46194</v>
      </c>
      <c r="C110" t="s">
        <v>207</v>
      </c>
      <c r="D110" t="s">
        <v>101</v>
      </c>
      <c r="E110" t="s">
        <v>38</v>
      </c>
      <c r="F110" t="s">
        <v>23</v>
      </c>
      <c r="G110" s="2">
        <v>46194.291666666657</v>
      </c>
      <c r="H110" s="2">
        <v>46194.791666666657</v>
      </c>
      <c r="I110">
        <v>12</v>
      </c>
      <c r="J110" t="s">
        <v>59</v>
      </c>
      <c r="K110" t="s">
        <v>102</v>
      </c>
    </row>
    <row r="111" spans="1:11" x14ac:dyDescent="0.2">
      <c r="A111" t="s">
        <v>216</v>
      </c>
      <c r="B111" s="1">
        <v>46194</v>
      </c>
      <c r="C111" t="s">
        <v>207</v>
      </c>
      <c r="D111" t="s">
        <v>101</v>
      </c>
      <c r="E111" t="s">
        <v>38</v>
      </c>
      <c r="F111" t="s">
        <v>30</v>
      </c>
      <c r="G111" s="2">
        <v>46194.791666666657</v>
      </c>
      <c r="H111" s="2">
        <v>46195.291666666657</v>
      </c>
      <c r="I111">
        <v>12</v>
      </c>
      <c r="J111" t="s">
        <v>55</v>
      </c>
      <c r="K111" t="s">
        <v>102</v>
      </c>
    </row>
    <row r="112" spans="1:11" x14ac:dyDescent="0.2">
      <c r="A112" t="s">
        <v>217</v>
      </c>
      <c r="B112" s="1">
        <v>46194</v>
      </c>
      <c r="C112" t="s">
        <v>207</v>
      </c>
      <c r="D112" t="s">
        <v>101</v>
      </c>
      <c r="E112" t="s">
        <v>29</v>
      </c>
      <c r="F112" t="s">
        <v>23</v>
      </c>
      <c r="G112" s="2">
        <v>46194.291666666657</v>
      </c>
      <c r="H112" s="2">
        <v>46194.791666666657</v>
      </c>
      <c r="I112">
        <v>12</v>
      </c>
      <c r="J112" t="s">
        <v>65</v>
      </c>
      <c r="K112" t="s">
        <v>102</v>
      </c>
    </row>
    <row r="113" spans="1:11" x14ac:dyDescent="0.2">
      <c r="A113" t="s">
        <v>218</v>
      </c>
      <c r="B113" s="1">
        <v>46194</v>
      </c>
      <c r="C113" t="s">
        <v>207</v>
      </c>
      <c r="D113" t="s">
        <v>101</v>
      </c>
      <c r="E113" t="s">
        <v>29</v>
      </c>
      <c r="F113" t="s">
        <v>30</v>
      </c>
      <c r="G113" s="2">
        <v>46194.791666666657</v>
      </c>
      <c r="H113" s="2">
        <v>46195.291666666657</v>
      </c>
      <c r="I113">
        <v>12</v>
      </c>
      <c r="J113" t="s">
        <v>66</v>
      </c>
      <c r="K113" t="s">
        <v>102</v>
      </c>
    </row>
    <row r="114" spans="1:11" x14ac:dyDescent="0.2">
      <c r="A114" t="s">
        <v>219</v>
      </c>
      <c r="B114" s="1">
        <v>46194</v>
      </c>
      <c r="C114" t="s">
        <v>207</v>
      </c>
      <c r="D114" t="s">
        <v>101</v>
      </c>
      <c r="E114" t="s">
        <v>20</v>
      </c>
      <c r="F114" t="s">
        <v>23</v>
      </c>
      <c r="G114" s="2">
        <v>46194.291666666657</v>
      </c>
      <c r="H114" s="2">
        <v>46194.791666666657</v>
      </c>
      <c r="I114">
        <v>12</v>
      </c>
      <c r="J114" t="s">
        <v>67</v>
      </c>
      <c r="K114" t="s">
        <v>102</v>
      </c>
    </row>
    <row r="115" spans="1:11" x14ac:dyDescent="0.2">
      <c r="A115" t="s">
        <v>220</v>
      </c>
      <c r="B115" s="1">
        <v>46194</v>
      </c>
      <c r="C115" t="s">
        <v>207</v>
      </c>
      <c r="D115" t="s">
        <v>101</v>
      </c>
      <c r="E115" t="s">
        <v>20</v>
      </c>
      <c r="F115" t="s">
        <v>30</v>
      </c>
      <c r="G115" s="2">
        <v>46194.791666666657</v>
      </c>
      <c r="H115" s="2">
        <v>46195.291666666657</v>
      </c>
      <c r="I115">
        <v>12</v>
      </c>
      <c r="J115" t="s">
        <v>69</v>
      </c>
      <c r="K115" t="s">
        <v>102</v>
      </c>
    </row>
    <row r="116" spans="1:11" x14ac:dyDescent="0.2">
      <c r="A116" t="s">
        <v>221</v>
      </c>
      <c r="B116" s="1">
        <v>46194</v>
      </c>
      <c r="C116" t="s">
        <v>207</v>
      </c>
      <c r="D116" t="s">
        <v>101</v>
      </c>
      <c r="E116" t="s">
        <v>72</v>
      </c>
      <c r="F116" t="s">
        <v>23</v>
      </c>
      <c r="G116" s="2">
        <v>46194.291666666657</v>
      </c>
      <c r="H116" s="2">
        <v>46194.791666666657</v>
      </c>
      <c r="I116">
        <v>12</v>
      </c>
      <c r="J116" t="s">
        <v>76</v>
      </c>
      <c r="K116" t="s">
        <v>102</v>
      </c>
    </row>
    <row r="117" spans="1:11" x14ac:dyDescent="0.2">
      <c r="A117" t="s">
        <v>222</v>
      </c>
      <c r="B117" s="1">
        <v>46194</v>
      </c>
      <c r="C117" t="s">
        <v>207</v>
      </c>
      <c r="D117" t="s">
        <v>101</v>
      </c>
      <c r="E117" t="s">
        <v>72</v>
      </c>
      <c r="F117" t="s">
        <v>30</v>
      </c>
      <c r="G117" s="2">
        <v>46194.791666666657</v>
      </c>
      <c r="H117" s="2">
        <v>46195.291666666657</v>
      </c>
      <c r="I117">
        <v>12</v>
      </c>
      <c r="J117" t="s">
        <v>75</v>
      </c>
      <c r="K117" t="s">
        <v>102</v>
      </c>
    </row>
    <row r="118" spans="1:11" x14ac:dyDescent="0.2">
      <c r="A118" t="s">
        <v>223</v>
      </c>
      <c r="B118" s="1">
        <v>46194</v>
      </c>
      <c r="C118" t="s">
        <v>207</v>
      </c>
      <c r="D118" t="s">
        <v>101</v>
      </c>
      <c r="E118" t="s">
        <v>56</v>
      </c>
      <c r="F118" t="s">
        <v>23</v>
      </c>
      <c r="G118" s="2">
        <v>46194.291666666657</v>
      </c>
      <c r="H118" s="2">
        <v>46194.791666666657</v>
      </c>
      <c r="I118">
        <v>12</v>
      </c>
      <c r="J118" t="s">
        <v>83</v>
      </c>
      <c r="K118" t="s">
        <v>102</v>
      </c>
    </row>
    <row r="119" spans="1:11" x14ac:dyDescent="0.2">
      <c r="A119" t="s">
        <v>224</v>
      </c>
      <c r="B119" s="1">
        <v>46194</v>
      </c>
      <c r="C119" t="s">
        <v>207</v>
      </c>
      <c r="D119" t="s">
        <v>101</v>
      </c>
      <c r="E119" t="s">
        <v>56</v>
      </c>
      <c r="F119" t="s">
        <v>30</v>
      </c>
      <c r="G119" s="2">
        <v>46194.791666666657</v>
      </c>
      <c r="H119" s="2">
        <v>46195.291666666657</v>
      </c>
      <c r="I119">
        <v>12</v>
      </c>
      <c r="J119" t="s">
        <v>80</v>
      </c>
      <c r="K119" t="s">
        <v>102</v>
      </c>
    </row>
    <row r="120" spans="1:11" x14ac:dyDescent="0.2">
      <c r="A120" t="s">
        <v>225</v>
      </c>
      <c r="B120" s="1">
        <v>46194</v>
      </c>
      <c r="C120" t="s">
        <v>207</v>
      </c>
      <c r="D120" t="s">
        <v>101</v>
      </c>
      <c r="E120" t="s">
        <v>50</v>
      </c>
      <c r="F120" t="s">
        <v>23</v>
      </c>
      <c r="G120" s="2">
        <v>46194.291666666657</v>
      </c>
      <c r="H120" s="2">
        <v>46194.791666666657</v>
      </c>
      <c r="I120">
        <v>12</v>
      </c>
      <c r="J120" t="s">
        <v>85</v>
      </c>
      <c r="K120" t="s">
        <v>102</v>
      </c>
    </row>
    <row r="121" spans="1:11" x14ac:dyDescent="0.2">
      <c r="A121" t="s">
        <v>226</v>
      </c>
      <c r="B121" s="1">
        <v>46194</v>
      </c>
      <c r="C121" t="s">
        <v>207</v>
      </c>
      <c r="D121" t="s">
        <v>101</v>
      </c>
      <c r="E121" t="s">
        <v>50</v>
      </c>
      <c r="F121" t="s">
        <v>30</v>
      </c>
      <c r="G121" s="2">
        <v>46194.791666666657</v>
      </c>
      <c r="H121" s="2">
        <v>46195.291666666657</v>
      </c>
      <c r="I121">
        <v>12</v>
      </c>
      <c r="J121" t="s">
        <v>87</v>
      </c>
      <c r="K121" t="s">
        <v>102</v>
      </c>
    </row>
    <row r="122" spans="1:11" x14ac:dyDescent="0.2">
      <c r="A122" t="s">
        <v>227</v>
      </c>
      <c r="B122" s="1">
        <v>46195</v>
      </c>
      <c r="C122" t="s">
        <v>228</v>
      </c>
      <c r="D122" t="s">
        <v>101</v>
      </c>
      <c r="E122" t="s">
        <v>32</v>
      </c>
      <c r="F122" t="s">
        <v>23</v>
      </c>
      <c r="G122" s="2">
        <v>46195.291666666657</v>
      </c>
      <c r="H122" s="2">
        <v>46195.791666666657</v>
      </c>
      <c r="I122">
        <v>12</v>
      </c>
      <c r="J122" t="s">
        <v>13</v>
      </c>
      <c r="K122" t="s">
        <v>102</v>
      </c>
    </row>
    <row r="123" spans="1:11" x14ac:dyDescent="0.2">
      <c r="A123" t="s">
        <v>229</v>
      </c>
      <c r="B123" s="1">
        <v>46195</v>
      </c>
      <c r="C123" t="s">
        <v>228</v>
      </c>
      <c r="D123" t="s">
        <v>101</v>
      </c>
      <c r="E123" t="s">
        <v>32</v>
      </c>
      <c r="F123" t="s">
        <v>30</v>
      </c>
      <c r="G123" s="2">
        <v>46195.791666666657</v>
      </c>
      <c r="H123" s="2">
        <v>46196.291666666657</v>
      </c>
      <c r="I123">
        <v>12</v>
      </c>
      <c r="J123" t="s">
        <v>31</v>
      </c>
      <c r="K123" t="s">
        <v>102</v>
      </c>
    </row>
    <row r="124" spans="1:11" x14ac:dyDescent="0.2">
      <c r="A124" t="s">
        <v>230</v>
      </c>
      <c r="B124" s="1">
        <v>46195</v>
      </c>
      <c r="C124" t="s">
        <v>228</v>
      </c>
      <c r="D124" t="s">
        <v>101</v>
      </c>
      <c r="E124" t="s">
        <v>48</v>
      </c>
      <c r="F124" t="s">
        <v>23</v>
      </c>
      <c r="G124" s="2">
        <v>46195.291666666657</v>
      </c>
      <c r="H124" s="2">
        <v>46195.791666666657</v>
      </c>
      <c r="I124">
        <v>12</v>
      </c>
      <c r="J124" t="s">
        <v>37</v>
      </c>
      <c r="K124" t="s">
        <v>102</v>
      </c>
    </row>
    <row r="125" spans="1:11" x14ac:dyDescent="0.2">
      <c r="A125" t="s">
        <v>231</v>
      </c>
      <c r="B125" s="1">
        <v>46195</v>
      </c>
      <c r="C125" t="s">
        <v>228</v>
      </c>
      <c r="D125" t="s">
        <v>101</v>
      </c>
      <c r="E125" t="s">
        <v>48</v>
      </c>
      <c r="F125" t="s">
        <v>30</v>
      </c>
      <c r="G125" s="2">
        <v>46195.791666666657</v>
      </c>
      <c r="H125" s="2">
        <v>46196.291666666657</v>
      </c>
      <c r="I125">
        <v>12</v>
      </c>
      <c r="J125" t="s">
        <v>41</v>
      </c>
      <c r="K125" t="s">
        <v>102</v>
      </c>
    </row>
    <row r="126" spans="1:11" x14ac:dyDescent="0.2">
      <c r="A126" t="s">
        <v>232</v>
      </c>
      <c r="B126" s="1">
        <v>46195</v>
      </c>
      <c r="C126" t="s">
        <v>228</v>
      </c>
      <c r="D126" t="s">
        <v>101</v>
      </c>
      <c r="E126" t="s">
        <v>36</v>
      </c>
      <c r="F126" t="s">
        <v>23</v>
      </c>
      <c r="G126" s="2">
        <v>46195.291666666657</v>
      </c>
      <c r="H126" s="2">
        <v>46195.791666666657</v>
      </c>
      <c r="I126">
        <v>12</v>
      </c>
      <c r="J126" t="s">
        <v>46</v>
      </c>
      <c r="K126" t="s">
        <v>102</v>
      </c>
    </row>
    <row r="127" spans="1:11" x14ac:dyDescent="0.2">
      <c r="A127" t="s">
        <v>233</v>
      </c>
      <c r="B127" s="1">
        <v>46195</v>
      </c>
      <c r="C127" t="s">
        <v>228</v>
      </c>
      <c r="D127" t="s">
        <v>101</v>
      </c>
      <c r="E127" t="s">
        <v>36</v>
      </c>
      <c r="F127" t="s">
        <v>30</v>
      </c>
      <c r="G127" s="2">
        <v>46195.791666666657</v>
      </c>
      <c r="H127" s="2">
        <v>46196.291666666657</v>
      </c>
      <c r="I127">
        <v>12</v>
      </c>
      <c r="J127" t="s">
        <v>43</v>
      </c>
      <c r="K127" t="s">
        <v>102</v>
      </c>
    </row>
    <row r="128" spans="1:11" x14ac:dyDescent="0.2">
      <c r="A128" t="s">
        <v>234</v>
      </c>
      <c r="B128" s="1">
        <v>46195</v>
      </c>
      <c r="C128" t="s">
        <v>228</v>
      </c>
      <c r="D128" t="s">
        <v>101</v>
      </c>
      <c r="E128" t="s">
        <v>14</v>
      </c>
      <c r="F128" t="s">
        <v>23</v>
      </c>
      <c r="G128" s="2">
        <v>46195.291666666657</v>
      </c>
      <c r="H128" s="2">
        <v>46195.791666666657</v>
      </c>
      <c r="I128">
        <v>12</v>
      </c>
      <c r="J128" t="s">
        <v>54</v>
      </c>
      <c r="K128" t="s">
        <v>102</v>
      </c>
    </row>
    <row r="129" spans="1:11" x14ac:dyDescent="0.2">
      <c r="A129" t="s">
        <v>235</v>
      </c>
      <c r="B129" s="1">
        <v>46195</v>
      </c>
      <c r="C129" t="s">
        <v>228</v>
      </c>
      <c r="D129" t="s">
        <v>101</v>
      </c>
      <c r="E129" t="s">
        <v>14</v>
      </c>
      <c r="F129" t="s">
        <v>30</v>
      </c>
      <c r="G129" s="2">
        <v>46195.791666666657</v>
      </c>
      <c r="H129" s="2">
        <v>46196.291666666657</v>
      </c>
      <c r="I129">
        <v>12</v>
      </c>
      <c r="J129" t="s">
        <v>51</v>
      </c>
      <c r="K129" t="s">
        <v>102</v>
      </c>
    </row>
    <row r="130" spans="1:11" x14ac:dyDescent="0.2">
      <c r="A130" t="s">
        <v>236</v>
      </c>
      <c r="B130" s="1">
        <v>46195</v>
      </c>
      <c r="C130" t="s">
        <v>228</v>
      </c>
      <c r="D130" t="s">
        <v>101</v>
      </c>
      <c r="E130" t="s">
        <v>38</v>
      </c>
      <c r="F130" t="s">
        <v>23</v>
      </c>
      <c r="G130" s="2">
        <v>46195.291666666657</v>
      </c>
      <c r="H130" s="2">
        <v>46195.791666666657</v>
      </c>
      <c r="I130">
        <v>12</v>
      </c>
      <c r="J130" t="s">
        <v>61</v>
      </c>
      <c r="K130" t="s">
        <v>102</v>
      </c>
    </row>
    <row r="131" spans="1:11" x14ac:dyDescent="0.2">
      <c r="A131" t="s">
        <v>237</v>
      </c>
      <c r="B131" s="1">
        <v>46195</v>
      </c>
      <c r="C131" t="s">
        <v>228</v>
      </c>
      <c r="D131" t="s">
        <v>101</v>
      </c>
      <c r="E131" t="s">
        <v>38</v>
      </c>
      <c r="F131" t="s">
        <v>30</v>
      </c>
      <c r="G131" s="2">
        <v>46195.791666666657</v>
      </c>
      <c r="H131" s="2">
        <v>46196.291666666657</v>
      </c>
      <c r="I131">
        <v>12</v>
      </c>
      <c r="J131" t="s">
        <v>55</v>
      </c>
      <c r="K131" t="s">
        <v>102</v>
      </c>
    </row>
    <row r="132" spans="1:11" x14ac:dyDescent="0.2">
      <c r="A132" t="s">
        <v>238</v>
      </c>
      <c r="B132" s="1">
        <v>46195</v>
      </c>
      <c r="C132" t="s">
        <v>228</v>
      </c>
      <c r="D132" t="s">
        <v>101</v>
      </c>
      <c r="E132" t="s">
        <v>29</v>
      </c>
      <c r="F132" t="s">
        <v>23</v>
      </c>
      <c r="G132" s="2">
        <v>46195.291666666657</v>
      </c>
      <c r="H132" s="2">
        <v>46195.791666666657</v>
      </c>
      <c r="I132">
        <v>12</v>
      </c>
      <c r="J132" t="s">
        <v>64</v>
      </c>
      <c r="K132" t="s">
        <v>102</v>
      </c>
    </row>
    <row r="133" spans="1:11" x14ac:dyDescent="0.2">
      <c r="A133" t="s">
        <v>239</v>
      </c>
      <c r="B133" s="1">
        <v>46195</v>
      </c>
      <c r="C133" t="s">
        <v>228</v>
      </c>
      <c r="D133" t="s">
        <v>101</v>
      </c>
      <c r="E133" t="s">
        <v>29</v>
      </c>
      <c r="F133" t="s">
        <v>30</v>
      </c>
      <c r="G133" s="2">
        <v>46195.791666666657</v>
      </c>
      <c r="H133" s="2">
        <v>46196.291666666657</v>
      </c>
      <c r="I133">
        <v>12</v>
      </c>
      <c r="J133" t="s">
        <v>63</v>
      </c>
      <c r="K133" t="s">
        <v>102</v>
      </c>
    </row>
    <row r="134" spans="1:11" x14ac:dyDescent="0.2">
      <c r="A134" t="s">
        <v>240</v>
      </c>
      <c r="B134" s="1">
        <v>46195</v>
      </c>
      <c r="C134" t="s">
        <v>228</v>
      </c>
      <c r="D134" t="s">
        <v>101</v>
      </c>
      <c r="E134" t="s">
        <v>20</v>
      </c>
      <c r="F134" t="s">
        <v>23</v>
      </c>
      <c r="G134" s="2">
        <v>46195.291666666657</v>
      </c>
      <c r="H134" s="2">
        <v>46195.791666666657</v>
      </c>
      <c r="I134">
        <v>12</v>
      </c>
      <c r="J134" t="s">
        <v>71</v>
      </c>
      <c r="K134" t="s">
        <v>102</v>
      </c>
    </row>
    <row r="135" spans="1:11" x14ac:dyDescent="0.2">
      <c r="A135" t="s">
        <v>241</v>
      </c>
      <c r="B135" s="1">
        <v>46195</v>
      </c>
      <c r="C135" t="s">
        <v>228</v>
      </c>
      <c r="D135" t="s">
        <v>101</v>
      </c>
      <c r="E135" t="s">
        <v>20</v>
      </c>
      <c r="F135" t="s">
        <v>30</v>
      </c>
      <c r="G135" s="2">
        <v>46195.791666666657</v>
      </c>
      <c r="H135" s="2">
        <v>46196.291666666657</v>
      </c>
      <c r="I135">
        <v>12</v>
      </c>
      <c r="J135" t="s">
        <v>70</v>
      </c>
      <c r="K135" t="s">
        <v>102</v>
      </c>
    </row>
    <row r="136" spans="1:11" x14ac:dyDescent="0.2">
      <c r="A136" t="s">
        <v>242</v>
      </c>
      <c r="B136" s="1">
        <v>46195</v>
      </c>
      <c r="C136" t="s">
        <v>228</v>
      </c>
      <c r="D136" t="s">
        <v>101</v>
      </c>
      <c r="E136" t="s">
        <v>72</v>
      </c>
      <c r="F136" t="s">
        <v>23</v>
      </c>
      <c r="G136" s="2">
        <v>46195.291666666657</v>
      </c>
      <c r="H136" s="2">
        <v>46195.791666666657</v>
      </c>
      <c r="I136">
        <v>12</v>
      </c>
      <c r="J136" t="s">
        <v>78</v>
      </c>
      <c r="K136" t="s">
        <v>102</v>
      </c>
    </row>
    <row r="137" spans="1:11" x14ac:dyDescent="0.2">
      <c r="A137" t="s">
        <v>243</v>
      </c>
      <c r="B137" s="1">
        <v>46195</v>
      </c>
      <c r="C137" t="s">
        <v>228</v>
      </c>
      <c r="D137" t="s">
        <v>101</v>
      </c>
      <c r="E137" t="s">
        <v>72</v>
      </c>
      <c r="F137" t="s">
        <v>30</v>
      </c>
      <c r="G137" s="2">
        <v>46195.791666666657</v>
      </c>
      <c r="H137" s="2">
        <v>46196.291666666657</v>
      </c>
      <c r="I137">
        <v>12</v>
      </c>
      <c r="J137" t="s">
        <v>74</v>
      </c>
      <c r="K137" t="s">
        <v>102</v>
      </c>
    </row>
    <row r="138" spans="1:11" x14ac:dyDescent="0.2">
      <c r="A138" t="s">
        <v>244</v>
      </c>
      <c r="B138" s="1">
        <v>46195</v>
      </c>
      <c r="C138" t="s">
        <v>228</v>
      </c>
      <c r="D138" t="s">
        <v>101</v>
      </c>
      <c r="E138" t="s">
        <v>56</v>
      </c>
      <c r="F138" t="s">
        <v>23</v>
      </c>
      <c r="G138" s="2">
        <v>46195.291666666657</v>
      </c>
      <c r="H138" s="2">
        <v>46195.791666666657</v>
      </c>
      <c r="I138">
        <v>12</v>
      </c>
      <c r="J138" t="s">
        <v>79</v>
      </c>
      <c r="K138" t="s">
        <v>102</v>
      </c>
    </row>
    <row r="139" spans="1:11" x14ac:dyDescent="0.2">
      <c r="A139" t="s">
        <v>245</v>
      </c>
      <c r="B139" s="1">
        <v>46195</v>
      </c>
      <c r="C139" t="s">
        <v>228</v>
      </c>
      <c r="D139" t="s">
        <v>101</v>
      </c>
      <c r="E139" t="s">
        <v>56</v>
      </c>
      <c r="F139" t="s">
        <v>30</v>
      </c>
      <c r="G139" s="2">
        <v>46195.791666666657</v>
      </c>
      <c r="H139" s="2">
        <v>46196.291666666657</v>
      </c>
      <c r="I139">
        <v>12</v>
      </c>
      <c r="J139" t="s">
        <v>81</v>
      </c>
      <c r="K139" t="s">
        <v>102</v>
      </c>
    </row>
    <row r="140" spans="1:11" x14ac:dyDescent="0.2">
      <c r="A140" t="s">
        <v>246</v>
      </c>
      <c r="B140" s="1">
        <v>46195</v>
      </c>
      <c r="C140" t="s">
        <v>228</v>
      </c>
      <c r="D140" t="s">
        <v>101</v>
      </c>
      <c r="E140" t="s">
        <v>50</v>
      </c>
      <c r="F140" t="s">
        <v>23</v>
      </c>
      <c r="G140" s="2">
        <v>46195.291666666657</v>
      </c>
      <c r="H140" s="2">
        <v>46195.791666666657</v>
      </c>
      <c r="I140">
        <v>12</v>
      </c>
      <c r="J140" t="s">
        <v>84</v>
      </c>
      <c r="K140" t="s">
        <v>102</v>
      </c>
    </row>
    <row r="141" spans="1:11" x14ac:dyDescent="0.2">
      <c r="A141" t="s">
        <v>247</v>
      </c>
      <c r="B141" s="1">
        <v>46195</v>
      </c>
      <c r="C141" t="s">
        <v>228</v>
      </c>
      <c r="D141" t="s">
        <v>101</v>
      </c>
      <c r="E141" t="s">
        <v>50</v>
      </c>
      <c r="F141" t="s">
        <v>30</v>
      </c>
      <c r="G141" s="2">
        <v>46195.791666666657</v>
      </c>
      <c r="H141" s="2">
        <v>46196.291666666657</v>
      </c>
      <c r="I141">
        <v>12</v>
      </c>
      <c r="J141" t="s">
        <v>88</v>
      </c>
      <c r="K141" t="s">
        <v>102</v>
      </c>
    </row>
    <row r="142" spans="1:11" x14ac:dyDescent="0.2">
      <c r="A142" t="s">
        <v>248</v>
      </c>
      <c r="B142" s="1">
        <v>46196</v>
      </c>
      <c r="C142" t="s">
        <v>100</v>
      </c>
      <c r="D142" t="s">
        <v>101</v>
      </c>
      <c r="E142" t="s">
        <v>32</v>
      </c>
      <c r="F142" t="s">
        <v>23</v>
      </c>
      <c r="G142" s="2">
        <v>46196.291666666657</v>
      </c>
      <c r="H142" s="2">
        <v>46196.791666666657</v>
      </c>
      <c r="I142">
        <v>12</v>
      </c>
      <c r="J142" t="s">
        <v>31</v>
      </c>
      <c r="K142" t="s">
        <v>102</v>
      </c>
    </row>
    <row r="143" spans="1:11" x14ac:dyDescent="0.2">
      <c r="A143" t="s">
        <v>249</v>
      </c>
      <c r="B143" s="1">
        <v>46196</v>
      </c>
      <c r="C143" t="s">
        <v>100</v>
      </c>
      <c r="D143" t="s">
        <v>101</v>
      </c>
      <c r="E143" t="s">
        <v>32</v>
      </c>
      <c r="F143" t="s">
        <v>30</v>
      </c>
      <c r="G143" s="2">
        <v>46196.791666666657</v>
      </c>
      <c r="H143" s="2">
        <v>46197.291666666657</v>
      </c>
      <c r="I143">
        <v>12</v>
      </c>
      <c r="J143" t="s">
        <v>13</v>
      </c>
      <c r="K143" t="s">
        <v>102</v>
      </c>
    </row>
    <row r="144" spans="1:11" x14ac:dyDescent="0.2">
      <c r="A144" t="s">
        <v>250</v>
      </c>
      <c r="B144" s="1">
        <v>46196</v>
      </c>
      <c r="C144" t="s">
        <v>100</v>
      </c>
      <c r="D144" t="s">
        <v>101</v>
      </c>
      <c r="E144" t="s">
        <v>48</v>
      </c>
      <c r="F144" t="s">
        <v>23</v>
      </c>
      <c r="G144" s="2">
        <v>46196.291666666657</v>
      </c>
      <c r="H144" s="2">
        <v>46196.791666666657</v>
      </c>
      <c r="I144">
        <v>12</v>
      </c>
      <c r="J144" t="s">
        <v>37</v>
      </c>
      <c r="K144" t="s">
        <v>102</v>
      </c>
    </row>
    <row r="145" spans="1:11" x14ac:dyDescent="0.2">
      <c r="A145" t="s">
        <v>251</v>
      </c>
      <c r="B145" s="1">
        <v>46196</v>
      </c>
      <c r="C145" t="s">
        <v>100</v>
      </c>
      <c r="D145" t="s">
        <v>101</v>
      </c>
      <c r="E145" t="s">
        <v>48</v>
      </c>
      <c r="F145" t="s">
        <v>30</v>
      </c>
      <c r="G145" s="2">
        <v>46196.791666666657</v>
      </c>
      <c r="H145" s="2">
        <v>46197.291666666657</v>
      </c>
      <c r="I145">
        <v>12</v>
      </c>
      <c r="J145" t="s">
        <v>40</v>
      </c>
      <c r="K145" t="s">
        <v>102</v>
      </c>
    </row>
    <row r="146" spans="1:11" x14ac:dyDescent="0.2">
      <c r="A146" t="s">
        <v>252</v>
      </c>
      <c r="B146" s="1">
        <v>46196</v>
      </c>
      <c r="C146" t="s">
        <v>100</v>
      </c>
      <c r="D146" t="s">
        <v>101</v>
      </c>
      <c r="E146" t="s">
        <v>36</v>
      </c>
      <c r="F146" t="s">
        <v>23</v>
      </c>
      <c r="G146" s="2">
        <v>46196.291666666657</v>
      </c>
      <c r="H146" s="2">
        <v>46196.791666666657</v>
      </c>
      <c r="I146">
        <v>12</v>
      </c>
      <c r="J146" t="s">
        <v>45</v>
      </c>
      <c r="K146" t="s">
        <v>102</v>
      </c>
    </row>
    <row r="147" spans="1:11" x14ac:dyDescent="0.2">
      <c r="A147" t="s">
        <v>253</v>
      </c>
      <c r="B147" s="1">
        <v>46196</v>
      </c>
      <c r="C147" t="s">
        <v>100</v>
      </c>
      <c r="D147" t="s">
        <v>101</v>
      </c>
      <c r="E147" t="s">
        <v>36</v>
      </c>
      <c r="F147" t="s">
        <v>30</v>
      </c>
      <c r="G147" s="2">
        <v>46196.791666666657</v>
      </c>
      <c r="H147" s="2">
        <v>46197.291666666657</v>
      </c>
      <c r="I147">
        <v>12</v>
      </c>
      <c r="J147" t="s">
        <v>47</v>
      </c>
      <c r="K147" t="s">
        <v>102</v>
      </c>
    </row>
    <row r="148" spans="1:11" x14ac:dyDescent="0.2">
      <c r="A148" t="s">
        <v>254</v>
      </c>
      <c r="B148" s="1">
        <v>46196</v>
      </c>
      <c r="C148" t="s">
        <v>100</v>
      </c>
      <c r="D148" t="s">
        <v>101</v>
      </c>
      <c r="E148" t="s">
        <v>14</v>
      </c>
      <c r="F148" t="s">
        <v>23</v>
      </c>
      <c r="G148" s="2">
        <v>46196.291666666657</v>
      </c>
      <c r="H148" s="2">
        <v>46196.791666666657</v>
      </c>
      <c r="I148">
        <v>12</v>
      </c>
      <c r="J148" t="s">
        <v>54</v>
      </c>
      <c r="K148" t="s">
        <v>102</v>
      </c>
    </row>
    <row r="149" spans="1:11" x14ac:dyDescent="0.2">
      <c r="A149" t="s">
        <v>255</v>
      </c>
      <c r="B149" s="1">
        <v>46196</v>
      </c>
      <c r="C149" t="s">
        <v>100</v>
      </c>
      <c r="D149" t="s">
        <v>101</v>
      </c>
      <c r="E149" t="s">
        <v>14</v>
      </c>
      <c r="F149" t="s">
        <v>30</v>
      </c>
      <c r="G149" s="2">
        <v>46196.791666666657</v>
      </c>
      <c r="H149" s="2">
        <v>46197.291666666657</v>
      </c>
      <c r="I149">
        <v>12</v>
      </c>
      <c r="J149" t="s">
        <v>52</v>
      </c>
      <c r="K149" t="s">
        <v>102</v>
      </c>
    </row>
    <row r="150" spans="1:11" x14ac:dyDescent="0.2">
      <c r="A150" t="s">
        <v>256</v>
      </c>
      <c r="B150" s="1">
        <v>46196</v>
      </c>
      <c r="C150" t="s">
        <v>100</v>
      </c>
      <c r="D150" t="s">
        <v>101</v>
      </c>
      <c r="E150" t="s">
        <v>38</v>
      </c>
      <c r="F150" t="s">
        <v>23</v>
      </c>
      <c r="G150" s="2">
        <v>46196.291666666657</v>
      </c>
      <c r="H150" s="2">
        <v>46196.791666666657</v>
      </c>
      <c r="I150">
        <v>12</v>
      </c>
      <c r="J150" t="s">
        <v>58</v>
      </c>
      <c r="K150" t="s">
        <v>102</v>
      </c>
    </row>
    <row r="151" spans="1:11" x14ac:dyDescent="0.2">
      <c r="A151" t="s">
        <v>257</v>
      </c>
      <c r="B151" s="1">
        <v>46196</v>
      </c>
      <c r="C151" t="s">
        <v>100</v>
      </c>
      <c r="D151" t="s">
        <v>101</v>
      </c>
      <c r="E151" t="s">
        <v>38</v>
      </c>
      <c r="F151" t="s">
        <v>30</v>
      </c>
      <c r="G151" s="2">
        <v>46196.791666666657</v>
      </c>
      <c r="H151" s="2">
        <v>46197.291666666657</v>
      </c>
      <c r="I151">
        <v>12</v>
      </c>
      <c r="J151" t="s">
        <v>61</v>
      </c>
      <c r="K151" t="s">
        <v>102</v>
      </c>
    </row>
    <row r="152" spans="1:11" x14ac:dyDescent="0.2">
      <c r="A152" t="s">
        <v>258</v>
      </c>
      <c r="B152" s="1">
        <v>46196</v>
      </c>
      <c r="C152" t="s">
        <v>100</v>
      </c>
      <c r="D152" t="s">
        <v>101</v>
      </c>
      <c r="E152" t="s">
        <v>29</v>
      </c>
      <c r="F152" t="s">
        <v>23</v>
      </c>
      <c r="G152" s="2">
        <v>46196.291666666657</v>
      </c>
      <c r="H152" s="2">
        <v>46196.791666666657</v>
      </c>
      <c r="I152">
        <v>12</v>
      </c>
      <c r="J152" t="s">
        <v>62</v>
      </c>
      <c r="K152" t="s">
        <v>102</v>
      </c>
    </row>
    <row r="153" spans="1:11" x14ac:dyDescent="0.2">
      <c r="A153" t="s">
        <v>259</v>
      </c>
      <c r="B153" s="1">
        <v>46196</v>
      </c>
      <c r="C153" t="s">
        <v>100</v>
      </c>
      <c r="D153" t="s">
        <v>101</v>
      </c>
      <c r="E153" t="s">
        <v>29</v>
      </c>
      <c r="F153" t="s">
        <v>30</v>
      </c>
      <c r="G153" s="2">
        <v>46196.791666666657</v>
      </c>
      <c r="H153" s="2">
        <v>46197.291666666657</v>
      </c>
      <c r="I153">
        <v>12</v>
      </c>
      <c r="J153" t="s">
        <v>65</v>
      </c>
      <c r="K153" t="s">
        <v>102</v>
      </c>
    </row>
    <row r="154" spans="1:11" x14ac:dyDescent="0.2">
      <c r="A154" t="s">
        <v>260</v>
      </c>
      <c r="B154" s="1">
        <v>46196</v>
      </c>
      <c r="C154" t="s">
        <v>100</v>
      </c>
      <c r="D154" t="s">
        <v>101</v>
      </c>
      <c r="E154" t="s">
        <v>20</v>
      </c>
      <c r="F154" t="s">
        <v>23</v>
      </c>
      <c r="G154" s="2">
        <v>46196.291666666657</v>
      </c>
      <c r="H154" s="2">
        <v>46196.791666666657</v>
      </c>
      <c r="I154">
        <v>12</v>
      </c>
      <c r="J154" t="s">
        <v>70</v>
      </c>
      <c r="K154" t="s">
        <v>102</v>
      </c>
    </row>
    <row r="155" spans="1:11" x14ac:dyDescent="0.2">
      <c r="A155" t="s">
        <v>261</v>
      </c>
      <c r="B155" s="1">
        <v>46196</v>
      </c>
      <c r="C155" t="s">
        <v>100</v>
      </c>
      <c r="D155" t="s">
        <v>101</v>
      </c>
      <c r="E155" t="s">
        <v>20</v>
      </c>
      <c r="F155" t="s">
        <v>30</v>
      </c>
      <c r="G155" s="2">
        <v>46196.791666666657</v>
      </c>
      <c r="H155" s="2">
        <v>46197.291666666657</v>
      </c>
      <c r="I155">
        <v>12</v>
      </c>
      <c r="J155" t="s">
        <v>68</v>
      </c>
      <c r="K155" t="s">
        <v>102</v>
      </c>
    </row>
    <row r="156" spans="1:11" x14ac:dyDescent="0.2">
      <c r="A156" t="s">
        <v>262</v>
      </c>
      <c r="B156" s="1">
        <v>46196</v>
      </c>
      <c r="C156" t="s">
        <v>100</v>
      </c>
      <c r="D156" t="s">
        <v>101</v>
      </c>
      <c r="E156" t="s">
        <v>72</v>
      </c>
      <c r="F156" t="s">
        <v>23</v>
      </c>
      <c r="G156" s="2">
        <v>46196.291666666657</v>
      </c>
      <c r="H156" s="2">
        <v>46196.791666666657</v>
      </c>
      <c r="I156">
        <v>12</v>
      </c>
      <c r="J156" t="s">
        <v>75</v>
      </c>
      <c r="K156" t="s">
        <v>102</v>
      </c>
    </row>
    <row r="157" spans="1:11" x14ac:dyDescent="0.2">
      <c r="A157" t="s">
        <v>263</v>
      </c>
      <c r="B157" s="1">
        <v>46196</v>
      </c>
      <c r="C157" t="s">
        <v>100</v>
      </c>
      <c r="D157" t="s">
        <v>101</v>
      </c>
      <c r="E157" t="s">
        <v>72</v>
      </c>
      <c r="F157" t="s">
        <v>30</v>
      </c>
      <c r="G157" s="2">
        <v>46196.791666666657</v>
      </c>
      <c r="H157" s="2">
        <v>46197.291666666657</v>
      </c>
      <c r="I157">
        <v>12</v>
      </c>
      <c r="J157" t="s">
        <v>74</v>
      </c>
      <c r="K157" t="s">
        <v>102</v>
      </c>
    </row>
    <row r="158" spans="1:11" x14ac:dyDescent="0.2">
      <c r="A158" t="s">
        <v>264</v>
      </c>
      <c r="B158" s="1">
        <v>46196</v>
      </c>
      <c r="C158" t="s">
        <v>100</v>
      </c>
      <c r="D158" t="s">
        <v>101</v>
      </c>
      <c r="E158" t="s">
        <v>56</v>
      </c>
      <c r="F158" t="s">
        <v>23</v>
      </c>
      <c r="G158" s="2">
        <v>46196.291666666657</v>
      </c>
      <c r="H158" s="2">
        <v>46196.791666666657</v>
      </c>
      <c r="I158">
        <v>12</v>
      </c>
      <c r="J158" t="s">
        <v>80</v>
      </c>
      <c r="K158" t="s">
        <v>102</v>
      </c>
    </row>
    <row r="159" spans="1:11" x14ac:dyDescent="0.2">
      <c r="A159" t="s">
        <v>265</v>
      </c>
      <c r="B159" s="1">
        <v>46196</v>
      </c>
      <c r="C159" t="s">
        <v>100</v>
      </c>
      <c r="D159" t="s">
        <v>101</v>
      </c>
      <c r="E159" t="s">
        <v>56</v>
      </c>
      <c r="F159" t="s">
        <v>30</v>
      </c>
      <c r="G159" s="2">
        <v>46196.791666666657</v>
      </c>
      <c r="H159" s="2">
        <v>46197.291666666657</v>
      </c>
      <c r="I159">
        <v>12</v>
      </c>
      <c r="J159" t="s">
        <v>82</v>
      </c>
      <c r="K159" t="s">
        <v>102</v>
      </c>
    </row>
    <row r="160" spans="1:11" x14ac:dyDescent="0.2">
      <c r="A160" t="s">
        <v>266</v>
      </c>
      <c r="B160" s="1">
        <v>46196</v>
      </c>
      <c r="C160" t="s">
        <v>100</v>
      </c>
      <c r="D160" t="s">
        <v>101</v>
      </c>
      <c r="E160" t="s">
        <v>50</v>
      </c>
      <c r="F160" t="s">
        <v>23</v>
      </c>
      <c r="G160" s="2">
        <v>46196.291666666657</v>
      </c>
      <c r="H160" s="2">
        <v>46196.791666666657</v>
      </c>
      <c r="I160">
        <v>12</v>
      </c>
      <c r="J160" t="s">
        <v>87</v>
      </c>
      <c r="K160" t="s">
        <v>102</v>
      </c>
    </row>
    <row r="161" spans="1:11" x14ac:dyDescent="0.2">
      <c r="A161" t="s">
        <v>267</v>
      </c>
      <c r="B161" s="1">
        <v>46196</v>
      </c>
      <c r="C161" t="s">
        <v>100</v>
      </c>
      <c r="D161" t="s">
        <v>101</v>
      </c>
      <c r="E161" t="s">
        <v>50</v>
      </c>
      <c r="F161" t="s">
        <v>30</v>
      </c>
      <c r="G161" s="2">
        <v>46196.791666666657</v>
      </c>
      <c r="H161" s="2">
        <v>46197.291666666657</v>
      </c>
      <c r="I161">
        <v>12</v>
      </c>
      <c r="J161" t="s">
        <v>88</v>
      </c>
      <c r="K161" t="s">
        <v>102</v>
      </c>
    </row>
    <row r="162" spans="1:11" x14ac:dyDescent="0.2">
      <c r="A162" t="s">
        <v>268</v>
      </c>
      <c r="B162" s="1">
        <v>46197</v>
      </c>
      <c r="C162" t="s">
        <v>123</v>
      </c>
      <c r="D162" t="s">
        <v>101</v>
      </c>
      <c r="E162" t="s">
        <v>32</v>
      </c>
      <c r="F162" t="s">
        <v>23</v>
      </c>
      <c r="G162" s="2">
        <v>46197.291666666657</v>
      </c>
      <c r="H162" s="2">
        <v>46197.791666666657</v>
      </c>
      <c r="I162">
        <v>12</v>
      </c>
      <c r="J162" t="s">
        <v>19</v>
      </c>
      <c r="K162" t="s">
        <v>102</v>
      </c>
    </row>
    <row r="163" spans="1:11" x14ac:dyDescent="0.2">
      <c r="A163" t="s">
        <v>269</v>
      </c>
      <c r="B163" s="1">
        <v>46197</v>
      </c>
      <c r="C163" t="s">
        <v>123</v>
      </c>
      <c r="D163" t="s">
        <v>101</v>
      </c>
      <c r="E163" t="s">
        <v>32</v>
      </c>
      <c r="F163" t="s">
        <v>30</v>
      </c>
      <c r="G163" s="2">
        <v>46197.791666666657</v>
      </c>
      <c r="H163" s="2">
        <v>46198.291666666657</v>
      </c>
      <c r="I163">
        <v>12</v>
      </c>
      <c r="J163" t="s">
        <v>31</v>
      </c>
      <c r="K163" t="s">
        <v>102</v>
      </c>
    </row>
    <row r="164" spans="1:11" x14ac:dyDescent="0.2">
      <c r="A164" t="s">
        <v>270</v>
      </c>
      <c r="B164" s="1">
        <v>46197</v>
      </c>
      <c r="C164" t="s">
        <v>123</v>
      </c>
      <c r="D164" t="s">
        <v>101</v>
      </c>
      <c r="E164" t="s">
        <v>48</v>
      </c>
      <c r="F164" t="s">
        <v>23</v>
      </c>
      <c r="G164" s="2">
        <v>46197.291666666657</v>
      </c>
      <c r="H164" s="2">
        <v>46197.791666666657</v>
      </c>
      <c r="I164">
        <v>12</v>
      </c>
      <c r="J164" t="s">
        <v>37</v>
      </c>
      <c r="K164" t="s">
        <v>102</v>
      </c>
    </row>
    <row r="165" spans="1:11" x14ac:dyDescent="0.2">
      <c r="A165" t="s">
        <v>271</v>
      </c>
      <c r="B165" s="1">
        <v>46197</v>
      </c>
      <c r="C165" t="s">
        <v>123</v>
      </c>
      <c r="D165" t="s">
        <v>101</v>
      </c>
      <c r="E165" t="s">
        <v>48</v>
      </c>
      <c r="F165" t="s">
        <v>30</v>
      </c>
      <c r="G165" s="2">
        <v>46197.791666666657</v>
      </c>
      <c r="H165" s="2">
        <v>46198.291666666657</v>
      </c>
      <c r="I165">
        <v>12</v>
      </c>
      <c r="J165" t="s">
        <v>42</v>
      </c>
      <c r="K165" t="s">
        <v>102</v>
      </c>
    </row>
    <row r="166" spans="1:11" x14ac:dyDescent="0.2">
      <c r="A166" t="s">
        <v>272</v>
      </c>
      <c r="B166" s="1">
        <v>46197</v>
      </c>
      <c r="C166" t="s">
        <v>123</v>
      </c>
      <c r="D166" t="s">
        <v>101</v>
      </c>
      <c r="E166" t="s">
        <v>36</v>
      </c>
      <c r="F166" t="s">
        <v>23</v>
      </c>
      <c r="G166" s="2">
        <v>46197.291666666657</v>
      </c>
      <c r="H166" s="2">
        <v>46197.791666666657</v>
      </c>
      <c r="I166">
        <v>12</v>
      </c>
      <c r="J166" t="s">
        <v>46</v>
      </c>
      <c r="K166" t="s">
        <v>102</v>
      </c>
    </row>
    <row r="167" spans="1:11" x14ac:dyDescent="0.2">
      <c r="A167" t="s">
        <v>273</v>
      </c>
      <c r="B167" s="1">
        <v>46197</v>
      </c>
      <c r="C167" t="s">
        <v>123</v>
      </c>
      <c r="D167" t="s">
        <v>101</v>
      </c>
      <c r="E167" t="s">
        <v>36</v>
      </c>
      <c r="F167" t="s">
        <v>30</v>
      </c>
      <c r="G167" s="2">
        <v>46197.791666666657</v>
      </c>
      <c r="H167" s="2">
        <v>46198.291666666657</v>
      </c>
      <c r="I167">
        <v>12</v>
      </c>
      <c r="J167" t="s">
        <v>43</v>
      </c>
      <c r="K167" t="s">
        <v>102</v>
      </c>
    </row>
    <row r="168" spans="1:11" x14ac:dyDescent="0.2">
      <c r="A168" t="s">
        <v>274</v>
      </c>
      <c r="B168" s="1">
        <v>46197</v>
      </c>
      <c r="C168" t="s">
        <v>123</v>
      </c>
      <c r="D168" t="s">
        <v>101</v>
      </c>
      <c r="E168" t="s">
        <v>14</v>
      </c>
      <c r="F168" t="s">
        <v>23</v>
      </c>
      <c r="G168" s="2">
        <v>46197.291666666657</v>
      </c>
      <c r="H168" s="2">
        <v>46197.791666666657</v>
      </c>
      <c r="I168">
        <v>12</v>
      </c>
      <c r="J168" t="s">
        <v>53</v>
      </c>
      <c r="K168" t="s">
        <v>102</v>
      </c>
    </row>
    <row r="169" spans="1:11" x14ac:dyDescent="0.2">
      <c r="A169" t="s">
        <v>275</v>
      </c>
      <c r="B169" s="1">
        <v>46197</v>
      </c>
      <c r="C169" t="s">
        <v>123</v>
      </c>
      <c r="D169" t="s">
        <v>101</v>
      </c>
      <c r="E169" t="s">
        <v>14</v>
      </c>
      <c r="F169" t="s">
        <v>30</v>
      </c>
      <c r="G169" s="2">
        <v>46197.791666666657</v>
      </c>
      <c r="H169" s="2">
        <v>46198.291666666657</v>
      </c>
      <c r="I169">
        <v>12</v>
      </c>
      <c r="J169" t="s">
        <v>49</v>
      </c>
      <c r="K169" t="s">
        <v>102</v>
      </c>
    </row>
    <row r="170" spans="1:11" x14ac:dyDescent="0.2">
      <c r="A170" t="s">
        <v>276</v>
      </c>
      <c r="B170" s="1">
        <v>46197</v>
      </c>
      <c r="C170" t="s">
        <v>123</v>
      </c>
      <c r="D170" t="s">
        <v>101</v>
      </c>
      <c r="E170" t="s">
        <v>38</v>
      </c>
      <c r="F170" t="s">
        <v>23</v>
      </c>
      <c r="G170" s="2">
        <v>46197.291666666657</v>
      </c>
      <c r="H170" s="2">
        <v>46197.791666666657</v>
      </c>
      <c r="I170">
        <v>12</v>
      </c>
      <c r="J170" t="s">
        <v>58</v>
      </c>
      <c r="K170" t="s">
        <v>102</v>
      </c>
    </row>
    <row r="171" spans="1:11" x14ac:dyDescent="0.2">
      <c r="A171" t="s">
        <v>277</v>
      </c>
      <c r="B171" s="1">
        <v>46197</v>
      </c>
      <c r="C171" t="s">
        <v>123</v>
      </c>
      <c r="D171" t="s">
        <v>101</v>
      </c>
      <c r="E171" t="s">
        <v>38</v>
      </c>
      <c r="F171" t="s">
        <v>30</v>
      </c>
      <c r="G171" s="2">
        <v>46197.791666666657</v>
      </c>
      <c r="H171" s="2">
        <v>46198.291666666657</v>
      </c>
      <c r="I171">
        <v>12</v>
      </c>
      <c r="J171" t="s">
        <v>59</v>
      </c>
      <c r="K171" t="s">
        <v>102</v>
      </c>
    </row>
    <row r="172" spans="1:11" x14ac:dyDescent="0.2">
      <c r="A172" t="s">
        <v>278</v>
      </c>
      <c r="B172" s="1">
        <v>46197</v>
      </c>
      <c r="C172" t="s">
        <v>123</v>
      </c>
      <c r="D172" t="s">
        <v>101</v>
      </c>
      <c r="E172" t="s">
        <v>29</v>
      </c>
      <c r="F172" t="s">
        <v>23</v>
      </c>
      <c r="G172" s="2">
        <v>46197.291666666657</v>
      </c>
      <c r="H172" s="2">
        <v>46197.791666666657</v>
      </c>
      <c r="I172">
        <v>12</v>
      </c>
      <c r="J172" t="s">
        <v>65</v>
      </c>
      <c r="K172" t="s">
        <v>102</v>
      </c>
    </row>
    <row r="173" spans="1:11" x14ac:dyDescent="0.2">
      <c r="A173" t="s">
        <v>279</v>
      </c>
      <c r="B173" s="1">
        <v>46197</v>
      </c>
      <c r="C173" t="s">
        <v>123</v>
      </c>
      <c r="D173" t="s">
        <v>101</v>
      </c>
      <c r="E173" t="s">
        <v>29</v>
      </c>
      <c r="F173" t="s">
        <v>30</v>
      </c>
      <c r="G173" s="2">
        <v>46197.791666666657</v>
      </c>
      <c r="H173" s="2">
        <v>46198.291666666657</v>
      </c>
      <c r="I173">
        <v>12</v>
      </c>
      <c r="J173" t="s">
        <v>63</v>
      </c>
      <c r="K173" t="s">
        <v>102</v>
      </c>
    </row>
    <row r="174" spans="1:11" x14ac:dyDescent="0.2">
      <c r="A174" t="s">
        <v>280</v>
      </c>
      <c r="B174" s="1">
        <v>46197</v>
      </c>
      <c r="C174" t="s">
        <v>123</v>
      </c>
      <c r="D174" t="s">
        <v>101</v>
      </c>
      <c r="E174" t="s">
        <v>20</v>
      </c>
      <c r="F174" t="s">
        <v>23</v>
      </c>
      <c r="G174" s="2">
        <v>46197.291666666657</v>
      </c>
      <c r="H174" s="2">
        <v>46197.791666666657</v>
      </c>
      <c r="I174">
        <v>12</v>
      </c>
      <c r="J174" t="s">
        <v>71</v>
      </c>
      <c r="K174" t="s">
        <v>102</v>
      </c>
    </row>
    <row r="175" spans="1:11" x14ac:dyDescent="0.2">
      <c r="A175" t="s">
        <v>281</v>
      </c>
      <c r="B175" s="1">
        <v>46197</v>
      </c>
      <c r="C175" t="s">
        <v>123</v>
      </c>
      <c r="D175" t="s">
        <v>101</v>
      </c>
      <c r="E175" t="s">
        <v>20</v>
      </c>
      <c r="F175" t="s">
        <v>30</v>
      </c>
      <c r="G175" s="2">
        <v>46197.791666666657</v>
      </c>
      <c r="H175" s="2">
        <v>46198.291666666657</v>
      </c>
      <c r="I175">
        <v>12</v>
      </c>
      <c r="J175" t="s">
        <v>68</v>
      </c>
      <c r="K175" t="s">
        <v>102</v>
      </c>
    </row>
    <row r="176" spans="1:11" x14ac:dyDescent="0.2">
      <c r="A176" t="s">
        <v>282</v>
      </c>
      <c r="B176" s="1">
        <v>46197</v>
      </c>
      <c r="C176" t="s">
        <v>123</v>
      </c>
      <c r="D176" t="s">
        <v>101</v>
      </c>
      <c r="E176" t="s">
        <v>72</v>
      </c>
      <c r="F176" t="s">
        <v>23</v>
      </c>
      <c r="G176" s="2">
        <v>46197.291666666657</v>
      </c>
      <c r="H176" s="2">
        <v>46197.791666666657</v>
      </c>
      <c r="I176">
        <v>12</v>
      </c>
      <c r="J176" t="s">
        <v>74</v>
      </c>
      <c r="K176" t="s">
        <v>102</v>
      </c>
    </row>
    <row r="177" spans="1:11" x14ac:dyDescent="0.2">
      <c r="A177" t="s">
        <v>283</v>
      </c>
      <c r="B177" s="1">
        <v>46197</v>
      </c>
      <c r="C177" t="s">
        <v>123</v>
      </c>
      <c r="D177" t="s">
        <v>101</v>
      </c>
      <c r="E177" t="s">
        <v>72</v>
      </c>
      <c r="F177" t="s">
        <v>30</v>
      </c>
      <c r="G177" s="2">
        <v>46197.791666666657</v>
      </c>
      <c r="H177" s="2">
        <v>46198.291666666657</v>
      </c>
      <c r="I177">
        <v>12</v>
      </c>
      <c r="J177" t="s">
        <v>78</v>
      </c>
      <c r="K177" t="s">
        <v>102</v>
      </c>
    </row>
    <row r="178" spans="1:11" x14ac:dyDescent="0.2">
      <c r="A178" t="s">
        <v>284</v>
      </c>
      <c r="B178" s="1">
        <v>46197</v>
      </c>
      <c r="C178" t="s">
        <v>123</v>
      </c>
      <c r="D178" t="s">
        <v>101</v>
      </c>
      <c r="E178" t="s">
        <v>56</v>
      </c>
      <c r="F178" t="s">
        <v>23</v>
      </c>
      <c r="G178" s="2">
        <v>46197.291666666657</v>
      </c>
      <c r="H178" s="2">
        <v>46197.791666666657</v>
      </c>
      <c r="I178">
        <v>12</v>
      </c>
      <c r="J178" t="s">
        <v>82</v>
      </c>
      <c r="K178" t="s">
        <v>102</v>
      </c>
    </row>
    <row r="179" spans="1:11" x14ac:dyDescent="0.2">
      <c r="A179" t="s">
        <v>285</v>
      </c>
      <c r="B179" s="1">
        <v>46197</v>
      </c>
      <c r="C179" t="s">
        <v>123</v>
      </c>
      <c r="D179" t="s">
        <v>101</v>
      </c>
      <c r="E179" t="s">
        <v>56</v>
      </c>
      <c r="F179" t="s">
        <v>30</v>
      </c>
      <c r="G179" s="2">
        <v>46197.791666666657</v>
      </c>
      <c r="H179" s="2">
        <v>46198.291666666657</v>
      </c>
      <c r="I179">
        <v>12</v>
      </c>
      <c r="J179" t="s">
        <v>81</v>
      </c>
      <c r="K179" t="s">
        <v>102</v>
      </c>
    </row>
    <row r="180" spans="1:11" x14ac:dyDescent="0.2">
      <c r="A180" t="s">
        <v>286</v>
      </c>
      <c r="B180" s="1">
        <v>46197</v>
      </c>
      <c r="C180" t="s">
        <v>123</v>
      </c>
      <c r="D180" t="s">
        <v>101</v>
      </c>
      <c r="E180" t="s">
        <v>50</v>
      </c>
      <c r="F180" t="s">
        <v>23</v>
      </c>
      <c r="G180" s="2">
        <v>46197.291666666657</v>
      </c>
      <c r="H180" s="2">
        <v>46197.791666666657</v>
      </c>
      <c r="I180">
        <v>12</v>
      </c>
      <c r="J180" t="s">
        <v>86</v>
      </c>
      <c r="K180" t="s">
        <v>102</v>
      </c>
    </row>
    <row r="181" spans="1:11" x14ac:dyDescent="0.2">
      <c r="A181" t="s">
        <v>287</v>
      </c>
      <c r="B181" s="1">
        <v>46197</v>
      </c>
      <c r="C181" t="s">
        <v>123</v>
      </c>
      <c r="D181" t="s">
        <v>101</v>
      </c>
      <c r="E181" t="s">
        <v>50</v>
      </c>
      <c r="F181" t="s">
        <v>30</v>
      </c>
      <c r="G181" s="2">
        <v>46197.791666666657</v>
      </c>
      <c r="H181" s="2">
        <v>46198.291666666657</v>
      </c>
      <c r="I181">
        <v>12</v>
      </c>
      <c r="J181" t="s">
        <v>85</v>
      </c>
      <c r="K181" t="s">
        <v>102</v>
      </c>
    </row>
    <row r="182" spans="1:11" x14ac:dyDescent="0.2">
      <c r="A182" t="s">
        <v>288</v>
      </c>
      <c r="B182" s="1">
        <v>46198</v>
      </c>
      <c r="C182" t="s">
        <v>144</v>
      </c>
      <c r="D182" t="s">
        <v>101</v>
      </c>
      <c r="E182" t="s">
        <v>32</v>
      </c>
      <c r="F182" t="s">
        <v>23</v>
      </c>
      <c r="G182" s="2">
        <v>46198.291666666657</v>
      </c>
      <c r="H182" s="2">
        <v>46198.791666666657</v>
      </c>
      <c r="I182">
        <v>12</v>
      </c>
      <c r="J182" t="s">
        <v>19</v>
      </c>
      <c r="K182" t="s">
        <v>102</v>
      </c>
    </row>
    <row r="183" spans="1:11" x14ac:dyDescent="0.2">
      <c r="A183" t="s">
        <v>289</v>
      </c>
      <c r="B183" s="1">
        <v>46198</v>
      </c>
      <c r="C183" t="s">
        <v>144</v>
      </c>
      <c r="D183" t="s">
        <v>101</v>
      </c>
      <c r="E183" t="s">
        <v>32</v>
      </c>
      <c r="F183" t="s">
        <v>30</v>
      </c>
      <c r="G183" s="2">
        <v>46198.791666666657</v>
      </c>
      <c r="H183" s="2">
        <v>46199.291666666657</v>
      </c>
      <c r="I183">
        <v>12</v>
      </c>
      <c r="J183" t="s">
        <v>31</v>
      </c>
      <c r="K183" t="s">
        <v>102</v>
      </c>
    </row>
    <row r="184" spans="1:11" x14ac:dyDescent="0.2">
      <c r="A184" t="s">
        <v>290</v>
      </c>
      <c r="B184" s="1">
        <v>46198</v>
      </c>
      <c r="C184" t="s">
        <v>144</v>
      </c>
      <c r="D184" t="s">
        <v>101</v>
      </c>
      <c r="E184" t="s">
        <v>48</v>
      </c>
      <c r="F184" t="s">
        <v>23</v>
      </c>
      <c r="G184" s="2">
        <v>46198.291666666657</v>
      </c>
      <c r="H184" s="2">
        <v>46198.791666666657</v>
      </c>
      <c r="I184">
        <v>12</v>
      </c>
      <c r="J184" t="s">
        <v>40</v>
      </c>
      <c r="K184" t="s">
        <v>102</v>
      </c>
    </row>
    <row r="185" spans="1:11" x14ac:dyDescent="0.2">
      <c r="A185" t="s">
        <v>291</v>
      </c>
      <c r="B185" s="1">
        <v>46198</v>
      </c>
      <c r="C185" t="s">
        <v>144</v>
      </c>
      <c r="D185" t="s">
        <v>101</v>
      </c>
      <c r="E185" t="s">
        <v>48</v>
      </c>
      <c r="F185" t="s">
        <v>30</v>
      </c>
      <c r="G185" s="2">
        <v>46198.791666666657</v>
      </c>
      <c r="H185" s="2">
        <v>46199.291666666657</v>
      </c>
      <c r="I185">
        <v>12</v>
      </c>
      <c r="J185" t="s">
        <v>41</v>
      </c>
      <c r="K185" t="s">
        <v>102</v>
      </c>
    </row>
    <row r="186" spans="1:11" x14ac:dyDescent="0.2">
      <c r="A186" t="s">
        <v>292</v>
      </c>
      <c r="B186" s="1">
        <v>46198</v>
      </c>
      <c r="C186" t="s">
        <v>144</v>
      </c>
      <c r="D186" t="s">
        <v>101</v>
      </c>
      <c r="E186" t="s">
        <v>36</v>
      </c>
      <c r="F186" t="s">
        <v>23</v>
      </c>
      <c r="G186" s="2">
        <v>46198.291666666657</v>
      </c>
      <c r="H186" s="2">
        <v>46198.791666666657</v>
      </c>
      <c r="I186">
        <v>12</v>
      </c>
      <c r="J186" t="s">
        <v>44</v>
      </c>
      <c r="K186" t="s">
        <v>102</v>
      </c>
    </row>
    <row r="187" spans="1:11" x14ac:dyDescent="0.2">
      <c r="A187" t="s">
        <v>293</v>
      </c>
      <c r="B187" s="1">
        <v>46198</v>
      </c>
      <c r="C187" t="s">
        <v>144</v>
      </c>
      <c r="D187" t="s">
        <v>101</v>
      </c>
      <c r="E187" t="s">
        <v>36</v>
      </c>
      <c r="F187" t="s">
        <v>30</v>
      </c>
      <c r="G187" s="2">
        <v>46198.791666666657</v>
      </c>
      <c r="H187" s="2">
        <v>46199.291666666657</v>
      </c>
      <c r="I187">
        <v>12</v>
      </c>
      <c r="J187" t="s">
        <v>43</v>
      </c>
      <c r="K187" t="s">
        <v>102</v>
      </c>
    </row>
    <row r="188" spans="1:11" x14ac:dyDescent="0.2">
      <c r="A188" t="s">
        <v>294</v>
      </c>
      <c r="B188" s="1">
        <v>46198</v>
      </c>
      <c r="C188" t="s">
        <v>144</v>
      </c>
      <c r="D188" t="s">
        <v>101</v>
      </c>
      <c r="E188" t="s">
        <v>14</v>
      </c>
      <c r="F188" t="s">
        <v>23</v>
      </c>
      <c r="G188" s="2">
        <v>46198.291666666657</v>
      </c>
      <c r="H188" s="2">
        <v>46198.791666666657</v>
      </c>
      <c r="I188">
        <v>12</v>
      </c>
      <c r="J188" t="s">
        <v>51</v>
      </c>
      <c r="K188" t="s">
        <v>102</v>
      </c>
    </row>
    <row r="189" spans="1:11" x14ac:dyDescent="0.2">
      <c r="A189" t="s">
        <v>295</v>
      </c>
      <c r="B189" s="1">
        <v>46198</v>
      </c>
      <c r="C189" t="s">
        <v>144</v>
      </c>
      <c r="D189" t="s">
        <v>101</v>
      </c>
      <c r="E189" t="s">
        <v>14</v>
      </c>
      <c r="F189" t="s">
        <v>30</v>
      </c>
      <c r="G189" s="2">
        <v>46198.791666666657</v>
      </c>
      <c r="H189" s="2">
        <v>46199.291666666657</v>
      </c>
      <c r="I189">
        <v>12</v>
      </c>
      <c r="J189" t="s">
        <v>49</v>
      </c>
      <c r="K189" t="s">
        <v>102</v>
      </c>
    </row>
    <row r="190" spans="1:11" x14ac:dyDescent="0.2">
      <c r="A190" t="s">
        <v>296</v>
      </c>
      <c r="B190" s="1">
        <v>46198</v>
      </c>
      <c r="C190" t="s">
        <v>144</v>
      </c>
      <c r="D190" t="s">
        <v>101</v>
      </c>
      <c r="E190" t="s">
        <v>38</v>
      </c>
      <c r="F190" t="s">
        <v>23</v>
      </c>
      <c r="G190" s="2">
        <v>46198.291666666657</v>
      </c>
      <c r="H190" s="2">
        <v>46198.791666666657</v>
      </c>
      <c r="I190">
        <v>12</v>
      </c>
      <c r="J190" t="s">
        <v>58</v>
      </c>
      <c r="K190" t="s">
        <v>102</v>
      </c>
    </row>
    <row r="191" spans="1:11" x14ac:dyDescent="0.2">
      <c r="A191" t="s">
        <v>297</v>
      </c>
      <c r="B191" s="1">
        <v>46198</v>
      </c>
      <c r="C191" t="s">
        <v>144</v>
      </c>
      <c r="D191" t="s">
        <v>101</v>
      </c>
      <c r="E191" t="s">
        <v>38</v>
      </c>
      <c r="F191" t="s">
        <v>30</v>
      </c>
      <c r="G191" s="2">
        <v>46198.791666666657</v>
      </c>
      <c r="H191" s="2">
        <v>46199.291666666657</v>
      </c>
      <c r="I191">
        <v>12</v>
      </c>
      <c r="J191" t="s">
        <v>55</v>
      </c>
      <c r="K191" t="s">
        <v>102</v>
      </c>
    </row>
    <row r="192" spans="1:11" x14ac:dyDescent="0.2">
      <c r="A192" t="s">
        <v>298</v>
      </c>
      <c r="B192" s="1">
        <v>46198</v>
      </c>
      <c r="C192" t="s">
        <v>144</v>
      </c>
      <c r="D192" t="s">
        <v>101</v>
      </c>
      <c r="E192" t="s">
        <v>29</v>
      </c>
      <c r="F192" t="s">
        <v>23</v>
      </c>
      <c r="G192" s="2">
        <v>46198.291666666657</v>
      </c>
      <c r="H192" s="2">
        <v>46198.791666666657</v>
      </c>
      <c r="I192">
        <v>12</v>
      </c>
      <c r="J192" t="s">
        <v>66</v>
      </c>
      <c r="K192" t="s">
        <v>102</v>
      </c>
    </row>
    <row r="193" spans="1:11" x14ac:dyDescent="0.2">
      <c r="A193" t="s">
        <v>299</v>
      </c>
      <c r="B193" s="1">
        <v>46198</v>
      </c>
      <c r="C193" t="s">
        <v>144</v>
      </c>
      <c r="D193" t="s">
        <v>101</v>
      </c>
      <c r="E193" t="s">
        <v>29</v>
      </c>
      <c r="F193" t="s">
        <v>30</v>
      </c>
      <c r="G193" s="2">
        <v>46198.791666666657</v>
      </c>
      <c r="H193" s="2">
        <v>46199.291666666657</v>
      </c>
      <c r="I193">
        <v>12</v>
      </c>
      <c r="J193" t="s">
        <v>62</v>
      </c>
      <c r="K193" t="s">
        <v>102</v>
      </c>
    </row>
    <row r="194" spans="1:11" x14ac:dyDescent="0.2">
      <c r="A194" t="s">
        <v>300</v>
      </c>
      <c r="B194" s="1">
        <v>46198</v>
      </c>
      <c r="C194" t="s">
        <v>144</v>
      </c>
      <c r="D194" t="s">
        <v>101</v>
      </c>
      <c r="E194" t="s">
        <v>20</v>
      </c>
      <c r="F194" t="s">
        <v>23</v>
      </c>
      <c r="G194" s="2">
        <v>46198.291666666657</v>
      </c>
      <c r="H194" s="2">
        <v>46198.791666666657</v>
      </c>
      <c r="I194">
        <v>12</v>
      </c>
      <c r="J194" t="s">
        <v>71</v>
      </c>
      <c r="K194" t="s">
        <v>102</v>
      </c>
    </row>
    <row r="195" spans="1:11" x14ac:dyDescent="0.2">
      <c r="A195" t="s">
        <v>301</v>
      </c>
      <c r="B195" s="1">
        <v>46198</v>
      </c>
      <c r="C195" t="s">
        <v>144</v>
      </c>
      <c r="D195" t="s">
        <v>101</v>
      </c>
      <c r="E195" t="s">
        <v>20</v>
      </c>
      <c r="F195" t="s">
        <v>30</v>
      </c>
      <c r="G195" s="2">
        <v>46198.791666666657</v>
      </c>
      <c r="H195" s="2">
        <v>46199.291666666657</v>
      </c>
      <c r="I195">
        <v>12</v>
      </c>
      <c r="J195" t="s">
        <v>70</v>
      </c>
      <c r="K195" t="s">
        <v>102</v>
      </c>
    </row>
    <row r="196" spans="1:11" x14ac:dyDescent="0.2">
      <c r="A196" t="s">
        <v>302</v>
      </c>
      <c r="B196" s="1">
        <v>46198</v>
      </c>
      <c r="C196" t="s">
        <v>144</v>
      </c>
      <c r="D196" t="s">
        <v>101</v>
      </c>
      <c r="E196" t="s">
        <v>72</v>
      </c>
      <c r="F196" t="s">
        <v>23</v>
      </c>
      <c r="G196" s="2">
        <v>46198.291666666657</v>
      </c>
      <c r="H196" s="2">
        <v>46198.791666666657</v>
      </c>
      <c r="I196">
        <v>12</v>
      </c>
      <c r="J196" t="s">
        <v>78</v>
      </c>
      <c r="K196" t="s">
        <v>102</v>
      </c>
    </row>
    <row r="197" spans="1:11" x14ac:dyDescent="0.2">
      <c r="A197" t="s">
        <v>303</v>
      </c>
      <c r="B197" s="1">
        <v>46198</v>
      </c>
      <c r="C197" t="s">
        <v>144</v>
      </c>
      <c r="D197" t="s">
        <v>101</v>
      </c>
      <c r="E197" t="s">
        <v>72</v>
      </c>
      <c r="F197" t="s">
        <v>30</v>
      </c>
      <c r="G197" s="2">
        <v>46198.791666666657</v>
      </c>
      <c r="H197" s="2">
        <v>46199.291666666657</v>
      </c>
      <c r="I197">
        <v>12</v>
      </c>
      <c r="J197" t="s">
        <v>74</v>
      </c>
      <c r="K197" t="s">
        <v>102</v>
      </c>
    </row>
    <row r="198" spans="1:11" x14ac:dyDescent="0.2">
      <c r="A198" t="s">
        <v>304</v>
      </c>
      <c r="B198" s="1">
        <v>46198</v>
      </c>
      <c r="C198" t="s">
        <v>144</v>
      </c>
      <c r="D198" t="s">
        <v>101</v>
      </c>
      <c r="E198" t="s">
        <v>56</v>
      </c>
      <c r="F198" t="s">
        <v>23</v>
      </c>
      <c r="G198" s="2">
        <v>46198.291666666657</v>
      </c>
      <c r="H198" s="2">
        <v>46198.791666666657</v>
      </c>
      <c r="I198">
        <v>12</v>
      </c>
      <c r="J198" t="s">
        <v>82</v>
      </c>
      <c r="K198" t="s">
        <v>102</v>
      </c>
    </row>
    <row r="199" spans="1:11" x14ac:dyDescent="0.2">
      <c r="A199" t="s">
        <v>305</v>
      </c>
      <c r="B199" s="1">
        <v>46198</v>
      </c>
      <c r="C199" t="s">
        <v>144</v>
      </c>
      <c r="D199" t="s">
        <v>101</v>
      </c>
      <c r="E199" t="s">
        <v>56</v>
      </c>
      <c r="F199" t="s">
        <v>30</v>
      </c>
      <c r="G199" s="2">
        <v>46198.791666666657</v>
      </c>
      <c r="H199" s="2">
        <v>46199.291666666657</v>
      </c>
      <c r="I199">
        <v>12</v>
      </c>
      <c r="J199" t="s">
        <v>80</v>
      </c>
      <c r="K199" t="s">
        <v>102</v>
      </c>
    </row>
    <row r="200" spans="1:11" x14ac:dyDescent="0.2">
      <c r="A200" t="s">
        <v>306</v>
      </c>
      <c r="B200" s="1">
        <v>46198</v>
      </c>
      <c r="C200" t="s">
        <v>144</v>
      </c>
      <c r="D200" t="s">
        <v>101</v>
      </c>
      <c r="E200" t="s">
        <v>50</v>
      </c>
      <c r="F200" t="s">
        <v>23</v>
      </c>
      <c r="G200" s="2">
        <v>46198.291666666657</v>
      </c>
      <c r="H200" s="2">
        <v>46198.791666666657</v>
      </c>
      <c r="I200">
        <v>12</v>
      </c>
      <c r="J200" t="s">
        <v>88</v>
      </c>
      <c r="K200" t="s">
        <v>102</v>
      </c>
    </row>
    <row r="201" spans="1:11" x14ac:dyDescent="0.2">
      <c r="A201" t="s">
        <v>307</v>
      </c>
      <c r="B201" s="1">
        <v>46198</v>
      </c>
      <c r="C201" t="s">
        <v>144</v>
      </c>
      <c r="D201" t="s">
        <v>101</v>
      </c>
      <c r="E201" t="s">
        <v>50</v>
      </c>
      <c r="F201" t="s">
        <v>30</v>
      </c>
      <c r="G201" s="2">
        <v>46198.791666666657</v>
      </c>
      <c r="H201" s="2">
        <v>46199.291666666657</v>
      </c>
      <c r="I201">
        <v>12</v>
      </c>
      <c r="J201" t="s">
        <v>84</v>
      </c>
      <c r="K201" t="s">
        <v>102</v>
      </c>
    </row>
    <row r="202" spans="1:11" x14ac:dyDescent="0.2">
      <c r="A202" t="s">
        <v>308</v>
      </c>
      <c r="B202" s="1">
        <v>46199</v>
      </c>
      <c r="C202" t="s">
        <v>165</v>
      </c>
      <c r="D202" t="s">
        <v>101</v>
      </c>
      <c r="E202" t="s">
        <v>32</v>
      </c>
      <c r="F202" t="s">
        <v>23</v>
      </c>
      <c r="G202" s="2">
        <v>46199.291666666657</v>
      </c>
      <c r="H202" s="2">
        <v>46199.791666666657</v>
      </c>
      <c r="I202">
        <v>12</v>
      </c>
      <c r="J202" t="s">
        <v>13</v>
      </c>
      <c r="K202" t="s">
        <v>102</v>
      </c>
    </row>
    <row r="203" spans="1:11" x14ac:dyDescent="0.2">
      <c r="A203" t="s">
        <v>309</v>
      </c>
      <c r="B203" s="1">
        <v>46199</v>
      </c>
      <c r="C203" t="s">
        <v>165</v>
      </c>
      <c r="D203" t="s">
        <v>101</v>
      </c>
      <c r="E203" t="s">
        <v>32</v>
      </c>
      <c r="F203" t="s">
        <v>30</v>
      </c>
      <c r="G203" s="2">
        <v>46199.791666666657</v>
      </c>
      <c r="H203" s="2">
        <v>46200.291666666657</v>
      </c>
      <c r="I203">
        <v>12</v>
      </c>
      <c r="J203" t="s">
        <v>19</v>
      </c>
      <c r="K203" t="s">
        <v>102</v>
      </c>
    </row>
    <row r="204" spans="1:11" x14ac:dyDescent="0.2">
      <c r="A204" t="s">
        <v>310</v>
      </c>
      <c r="B204" s="1">
        <v>46199</v>
      </c>
      <c r="C204" t="s">
        <v>165</v>
      </c>
      <c r="D204" t="s">
        <v>101</v>
      </c>
      <c r="E204" t="s">
        <v>48</v>
      </c>
      <c r="F204" t="s">
        <v>23</v>
      </c>
      <c r="G204" s="2">
        <v>46199.291666666657</v>
      </c>
      <c r="H204" s="2">
        <v>46199.791666666657</v>
      </c>
      <c r="I204">
        <v>12</v>
      </c>
      <c r="J204" t="s">
        <v>40</v>
      </c>
      <c r="K204" t="s">
        <v>102</v>
      </c>
    </row>
    <row r="205" spans="1:11" x14ac:dyDescent="0.2">
      <c r="A205" t="s">
        <v>311</v>
      </c>
      <c r="B205" s="1">
        <v>46199</v>
      </c>
      <c r="C205" t="s">
        <v>165</v>
      </c>
      <c r="D205" t="s">
        <v>101</v>
      </c>
      <c r="E205" t="s">
        <v>48</v>
      </c>
      <c r="F205" t="s">
        <v>30</v>
      </c>
      <c r="G205" s="2">
        <v>46199.791666666657</v>
      </c>
      <c r="H205" s="2">
        <v>46200.291666666657</v>
      </c>
      <c r="I205">
        <v>12</v>
      </c>
      <c r="J205" t="s">
        <v>42</v>
      </c>
      <c r="K205" t="s">
        <v>102</v>
      </c>
    </row>
    <row r="206" spans="1:11" x14ac:dyDescent="0.2">
      <c r="A206" t="s">
        <v>312</v>
      </c>
      <c r="B206" s="1">
        <v>46199</v>
      </c>
      <c r="C206" t="s">
        <v>165</v>
      </c>
      <c r="D206" t="s">
        <v>101</v>
      </c>
      <c r="E206" t="s">
        <v>36</v>
      </c>
      <c r="F206" t="s">
        <v>23</v>
      </c>
      <c r="G206" s="2">
        <v>46199.291666666657</v>
      </c>
      <c r="H206" s="2">
        <v>46199.791666666657</v>
      </c>
      <c r="I206">
        <v>12</v>
      </c>
      <c r="J206" t="s">
        <v>46</v>
      </c>
      <c r="K206" t="s">
        <v>102</v>
      </c>
    </row>
    <row r="207" spans="1:11" x14ac:dyDescent="0.2">
      <c r="A207" t="s">
        <v>313</v>
      </c>
      <c r="B207" s="1">
        <v>46199</v>
      </c>
      <c r="C207" t="s">
        <v>165</v>
      </c>
      <c r="D207" t="s">
        <v>101</v>
      </c>
      <c r="E207" t="s">
        <v>36</v>
      </c>
      <c r="F207" t="s">
        <v>30</v>
      </c>
      <c r="G207" s="2">
        <v>46199.791666666657</v>
      </c>
      <c r="H207" s="2">
        <v>46200.291666666657</v>
      </c>
      <c r="I207">
        <v>12</v>
      </c>
      <c r="J207" t="s">
        <v>47</v>
      </c>
      <c r="K207" t="s">
        <v>102</v>
      </c>
    </row>
    <row r="208" spans="1:11" x14ac:dyDescent="0.2">
      <c r="A208" t="s">
        <v>314</v>
      </c>
      <c r="B208" s="1">
        <v>46199</v>
      </c>
      <c r="C208" t="s">
        <v>165</v>
      </c>
      <c r="D208" t="s">
        <v>101</v>
      </c>
      <c r="E208" t="s">
        <v>14</v>
      </c>
      <c r="F208" t="s">
        <v>23</v>
      </c>
      <c r="G208" s="2">
        <v>46199.291666666657</v>
      </c>
      <c r="H208" s="2">
        <v>46199.791666666657</v>
      </c>
      <c r="I208">
        <v>12</v>
      </c>
      <c r="J208" t="s">
        <v>49</v>
      </c>
      <c r="K208" t="s">
        <v>102</v>
      </c>
    </row>
    <row r="209" spans="1:11" x14ac:dyDescent="0.2">
      <c r="A209" t="s">
        <v>315</v>
      </c>
      <c r="B209" s="1">
        <v>46199</v>
      </c>
      <c r="C209" t="s">
        <v>165</v>
      </c>
      <c r="D209" t="s">
        <v>101</v>
      </c>
      <c r="E209" t="s">
        <v>14</v>
      </c>
      <c r="F209" t="s">
        <v>30</v>
      </c>
      <c r="G209" s="2">
        <v>46199.791666666657</v>
      </c>
      <c r="H209" s="2">
        <v>46200.291666666657</v>
      </c>
      <c r="I209">
        <v>12</v>
      </c>
      <c r="J209" t="s">
        <v>54</v>
      </c>
      <c r="K209" t="s">
        <v>102</v>
      </c>
    </row>
    <row r="210" spans="1:11" x14ac:dyDescent="0.2">
      <c r="A210" t="s">
        <v>316</v>
      </c>
      <c r="B210" s="1">
        <v>46199</v>
      </c>
      <c r="C210" t="s">
        <v>165</v>
      </c>
      <c r="D210" t="s">
        <v>101</v>
      </c>
      <c r="E210" t="s">
        <v>38</v>
      </c>
      <c r="F210" t="s">
        <v>23</v>
      </c>
      <c r="G210" s="2">
        <v>46199.291666666657</v>
      </c>
      <c r="H210" s="2">
        <v>46199.791666666657</v>
      </c>
      <c r="I210">
        <v>12</v>
      </c>
      <c r="J210" t="s">
        <v>61</v>
      </c>
      <c r="K210" t="s">
        <v>102</v>
      </c>
    </row>
    <row r="211" spans="1:11" x14ac:dyDescent="0.2">
      <c r="A211" t="s">
        <v>317</v>
      </c>
      <c r="B211" s="1">
        <v>46199</v>
      </c>
      <c r="C211" t="s">
        <v>165</v>
      </c>
      <c r="D211" t="s">
        <v>101</v>
      </c>
      <c r="E211" t="s">
        <v>38</v>
      </c>
      <c r="F211" t="s">
        <v>30</v>
      </c>
      <c r="G211" s="2">
        <v>46199.791666666657</v>
      </c>
      <c r="H211" s="2">
        <v>46200.291666666657</v>
      </c>
      <c r="I211">
        <v>12</v>
      </c>
      <c r="J211" t="s">
        <v>59</v>
      </c>
      <c r="K211" t="s">
        <v>102</v>
      </c>
    </row>
    <row r="212" spans="1:11" x14ac:dyDescent="0.2">
      <c r="A212" t="s">
        <v>318</v>
      </c>
      <c r="B212" s="1">
        <v>46199</v>
      </c>
      <c r="C212" t="s">
        <v>165</v>
      </c>
      <c r="D212" t="s">
        <v>101</v>
      </c>
      <c r="E212" t="s">
        <v>29</v>
      </c>
      <c r="F212" t="s">
        <v>23</v>
      </c>
      <c r="G212" s="2">
        <v>46199.291666666657</v>
      </c>
      <c r="H212" s="2">
        <v>46199.791666666657</v>
      </c>
      <c r="I212">
        <v>12</v>
      </c>
      <c r="J212" t="s">
        <v>62</v>
      </c>
      <c r="K212" t="s">
        <v>102</v>
      </c>
    </row>
    <row r="213" spans="1:11" x14ac:dyDescent="0.2">
      <c r="A213" t="s">
        <v>319</v>
      </c>
      <c r="B213" s="1">
        <v>46199</v>
      </c>
      <c r="C213" t="s">
        <v>165</v>
      </c>
      <c r="D213" t="s">
        <v>101</v>
      </c>
      <c r="E213" t="s">
        <v>29</v>
      </c>
      <c r="F213" t="s">
        <v>30</v>
      </c>
      <c r="G213" s="2">
        <v>46199.791666666657</v>
      </c>
      <c r="H213" s="2">
        <v>46200.291666666657</v>
      </c>
      <c r="I213">
        <v>12</v>
      </c>
      <c r="J213" t="s">
        <v>64</v>
      </c>
      <c r="K213" t="s">
        <v>102</v>
      </c>
    </row>
    <row r="214" spans="1:11" x14ac:dyDescent="0.2">
      <c r="A214" t="s">
        <v>320</v>
      </c>
      <c r="B214" s="1">
        <v>46199</v>
      </c>
      <c r="C214" t="s">
        <v>165</v>
      </c>
      <c r="D214" t="s">
        <v>101</v>
      </c>
      <c r="E214" t="s">
        <v>20</v>
      </c>
      <c r="F214" t="s">
        <v>23</v>
      </c>
      <c r="G214" s="2">
        <v>46199.291666666657</v>
      </c>
      <c r="H214" s="2">
        <v>46199.791666666657</v>
      </c>
      <c r="I214">
        <v>12</v>
      </c>
      <c r="J214" t="s">
        <v>71</v>
      </c>
      <c r="K214" t="s">
        <v>102</v>
      </c>
    </row>
    <row r="215" spans="1:11" x14ac:dyDescent="0.2">
      <c r="A215" t="s">
        <v>321</v>
      </c>
      <c r="B215" s="1">
        <v>46199</v>
      </c>
      <c r="C215" t="s">
        <v>165</v>
      </c>
      <c r="D215" t="s">
        <v>101</v>
      </c>
      <c r="E215" t="s">
        <v>20</v>
      </c>
      <c r="F215" t="s">
        <v>30</v>
      </c>
      <c r="G215" s="2">
        <v>46199.791666666657</v>
      </c>
      <c r="H215" s="2">
        <v>46200.291666666657</v>
      </c>
      <c r="I215">
        <v>12</v>
      </c>
      <c r="J215" t="s">
        <v>67</v>
      </c>
      <c r="K215" t="s">
        <v>102</v>
      </c>
    </row>
    <row r="216" spans="1:11" x14ac:dyDescent="0.2">
      <c r="A216" t="s">
        <v>322</v>
      </c>
      <c r="B216" s="1">
        <v>46199</v>
      </c>
      <c r="C216" t="s">
        <v>165</v>
      </c>
      <c r="D216" t="s">
        <v>101</v>
      </c>
      <c r="E216" t="s">
        <v>72</v>
      </c>
      <c r="F216" t="s">
        <v>23</v>
      </c>
      <c r="G216" s="2">
        <v>46199.291666666657</v>
      </c>
      <c r="H216" s="2">
        <v>46199.791666666657</v>
      </c>
      <c r="I216">
        <v>12</v>
      </c>
      <c r="J216" t="s">
        <v>78</v>
      </c>
      <c r="K216" t="s">
        <v>102</v>
      </c>
    </row>
    <row r="217" spans="1:11" x14ac:dyDescent="0.2">
      <c r="A217" t="s">
        <v>323</v>
      </c>
      <c r="B217" s="1">
        <v>46199</v>
      </c>
      <c r="C217" t="s">
        <v>165</v>
      </c>
      <c r="D217" t="s">
        <v>101</v>
      </c>
      <c r="E217" t="s">
        <v>72</v>
      </c>
      <c r="F217" t="s">
        <v>30</v>
      </c>
      <c r="G217" s="2">
        <v>46199.791666666657</v>
      </c>
      <c r="H217" s="2">
        <v>46200.291666666657</v>
      </c>
      <c r="I217">
        <v>12</v>
      </c>
      <c r="J217" t="s">
        <v>74</v>
      </c>
      <c r="K217" t="s">
        <v>102</v>
      </c>
    </row>
    <row r="218" spans="1:11" x14ac:dyDescent="0.2">
      <c r="A218" t="s">
        <v>324</v>
      </c>
      <c r="B218" s="1">
        <v>46199</v>
      </c>
      <c r="C218" t="s">
        <v>165</v>
      </c>
      <c r="D218" t="s">
        <v>101</v>
      </c>
      <c r="E218" t="s">
        <v>56</v>
      </c>
      <c r="F218" t="s">
        <v>23</v>
      </c>
      <c r="G218" s="2">
        <v>46199.291666666657</v>
      </c>
      <c r="H218" s="2">
        <v>46199.791666666657</v>
      </c>
      <c r="I218">
        <v>12</v>
      </c>
      <c r="J218" t="s">
        <v>82</v>
      </c>
      <c r="K218" t="s">
        <v>102</v>
      </c>
    </row>
    <row r="219" spans="1:11" x14ac:dyDescent="0.2">
      <c r="A219" t="s">
        <v>325</v>
      </c>
      <c r="B219" s="1">
        <v>46199</v>
      </c>
      <c r="C219" t="s">
        <v>165</v>
      </c>
      <c r="D219" t="s">
        <v>101</v>
      </c>
      <c r="E219" t="s">
        <v>56</v>
      </c>
      <c r="F219" t="s">
        <v>30</v>
      </c>
      <c r="G219" s="2">
        <v>46199.791666666657</v>
      </c>
      <c r="H219" s="2">
        <v>46200.291666666657</v>
      </c>
      <c r="I219">
        <v>12</v>
      </c>
      <c r="J219" t="s">
        <v>83</v>
      </c>
      <c r="K219" t="s">
        <v>102</v>
      </c>
    </row>
    <row r="220" spans="1:11" x14ac:dyDescent="0.2">
      <c r="A220" t="s">
        <v>326</v>
      </c>
      <c r="B220" s="1">
        <v>46199</v>
      </c>
      <c r="C220" t="s">
        <v>165</v>
      </c>
      <c r="D220" t="s">
        <v>101</v>
      </c>
      <c r="E220" t="s">
        <v>50</v>
      </c>
      <c r="F220" t="s">
        <v>23</v>
      </c>
      <c r="G220" s="2">
        <v>46199.291666666657</v>
      </c>
      <c r="H220" s="2">
        <v>46199.791666666657</v>
      </c>
      <c r="I220">
        <v>12</v>
      </c>
      <c r="J220" t="s">
        <v>88</v>
      </c>
      <c r="K220" t="s">
        <v>102</v>
      </c>
    </row>
    <row r="221" spans="1:11" x14ac:dyDescent="0.2">
      <c r="A221" t="s">
        <v>327</v>
      </c>
      <c r="B221" s="1">
        <v>46199</v>
      </c>
      <c r="C221" t="s">
        <v>165</v>
      </c>
      <c r="D221" t="s">
        <v>101</v>
      </c>
      <c r="E221" t="s">
        <v>50</v>
      </c>
      <c r="F221" t="s">
        <v>30</v>
      </c>
      <c r="G221" s="2">
        <v>46199.791666666657</v>
      </c>
      <c r="H221" s="2">
        <v>46200.291666666657</v>
      </c>
      <c r="I221">
        <v>12</v>
      </c>
      <c r="J221" t="s">
        <v>84</v>
      </c>
      <c r="K221" t="s">
        <v>102</v>
      </c>
    </row>
    <row r="222" spans="1:11" x14ac:dyDescent="0.2">
      <c r="A222" t="s">
        <v>328</v>
      </c>
      <c r="B222" s="1">
        <v>46200</v>
      </c>
      <c r="C222" t="s">
        <v>186</v>
      </c>
      <c r="D222" t="s">
        <v>101</v>
      </c>
      <c r="E222" t="s">
        <v>32</v>
      </c>
      <c r="F222" t="s">
        <v>23</v>
      </c>
      <c r="G222" s="2">
        <v>46200.291666666657</v>
      </c>
      <c r="H222" s="2">
        <v>46200.791666666657</v>
      </c>
      <c r="I222">
        <v>12</v>
      </c>
      <c r="J222" t="s">
        <v>13</v>
      </c>
      <c r="K222" t="s">
        <v>102</v>
      </c>
    </row>
    <row r="223" spans="1:11" x14ac:dyDescent="0.2">
      <c r="A223" t="s">
        <v>329</v>
      </c>
      <c r="B223" s="1">
        <v>46200</v>
      </c>
      <c r="C223" t="s">
        <v>186</v>
      </c>
      <c r="D223" t="s">
        <v>101</v>
      </c>
      <c r="E223" t="s">
        <v>32</v>
      </c>
      <c r="F223" t="s">
        <v>30</v>
      </c>
      <c r="G223" s="2">
        <v>46200.791666666657</v>
      </c>
      <c r="H223" s="2">
        <v>46201.291666666657</v>
      </c>
      <c r="I223">
        <v>12</v>
      </c>
      <c r="J223" t="s">
        <v>31</v>
      </c>
      <c r="K223" t="s">
        <v>102</v>
      </c>
    </row>
    <row r="224" spans="1:11" x14ac:dyDescent="0.2">
      <c r="A224" t="s">
        <v>330</v>
      </c>
      <c r="B224" s="1">
        <v>46200</v>
      </c>
      <c r="C224" t="s">
        <v>186</v>
      </c>
      <c r="D224" t="s">
        <v>101</v>
      </c>
      <c r="E224" t="s">
        <v>48</v>
      </c>
      <c r="F224" t="s">
        <v>23</v>
      </c>
      <c r="G224" s="2">
        <v>46200.291666666657</v>
      </c>
      <c r="H224" s="2">
        <v>46200.791666666657</v>
      </c>
      <c r="I224">
        <v>12</v>
      </c>
      <c r="J224" t="s">
        <v>40</v>
      </c>
      <c r="K224" t="s">
        <v>102</v>
      </c>
    </row>
    <row r="225" spans="1:11" x14ac:dyDescent="0.2">
      <c r="A225" t="s">
        <v>331</v>
      </c>
      <c r="B225" s="1">
        <v>46200</v>
      </c>
      <c r="C225" t="s">
        <v>186</v>
      </c>
      <c r="D225" t="s">
        <v>101</v>
      </c>
      <c r="E225" t="s">
        <v>48</v>
      </c>
      <c r="F225" t="s">
        <v>30</v>
      </c>
      <c r="G225" s="2">
        <v>46200.791666666657</v>
      </c>
      <c r="H225" s="2">
        <v>46201.291666666657</v>
      </c>
      <c r="I225">
        <v>12</v>
      </c>
      <c r="J225" t="s">
        <v>37</v>
      </c>
      <c r="K225" t="s">
        <v>102</v>
      </c>
    </row>
    <row r="226" spans="1:11" x14ac:dyDescent="0.2">
      <c r="A226" t="s">
        <v>332</v>
      </c>
      <c r="B226" s="1">
        <v>46200</v>
      </c>
      <c r="C226" t="s">
        <v>186</v>
      </c>
      <c r="D226" t="s">
        <v>101</v>
      </c>
      <c r="E226" t="s">
        <v>36</v>
      </c>
      <c r="F226" t="s">
        <v>23</v>
      </c>
      <c r="G226" s="2">
        <v>46200.291666666657</v>
      </c>
      <c r="H226" s="2">
        <v>46200.791666666657</v>
      </c>
      <c r="I226">
        <v>12</v>
      </c>
      <c r="J226" t="s">
        <v>47</v>
      </c>
      <c r="K226" t="s">
        <v>102</v>
      </c>
    </row>
    <row r="227" spans="1:11" x14ac:dyDescent="0.2">
      <c r="A227" t="s">
        <v>333</v>
      </c>
      <c r="B227" s="1">
        <v>46200</v>
      </c>
      <c r="C227" t="s">
        <v>186</v>
      </c>
      <c r="D227" t="s">
        <v>101</v>
      </c>
      <c r="E227" t="s">
        <v>36</v>
      </c>
      <c r="F227" t="s">
        <v>30</v>
      </c>
      <c r="G227" s="2">
        <v>46200.791666666657</v>
      </c>
      <c r="H227" s="2">
        <v>46201.291666666657</v>
      </c>
      <c r="I227">
        <v>12</v>
      </c>
      <c r="J227" t="s">
        <v>45</v>
      </c>
      <c r="K227" t="s">
        <v>102</v>
      </c>
    </row>
    <row r="228" spans="1:11" x14ac:dyDescent="0.2">
      <c r="A228" t="s">
        <v>334</v>
      </c>
      <c r="B228" s="1">
        <v>46200</v>
      </c>
      <c r="C228" t="s">
        <v>186</v>
      </c>
      <c r="D228" t="s">
        <v>101</v>
      </c>
      <c r="E228" t="s">
        <v>14</v>
      </c>
      <c r="F228" t="s">
        <v>23</v>
      </c>
      <c r="G228" s="2">
        <v>46200.291666666657</v>
      </c>
      <c r="H228" s="2">
        <v>46200.791666666657</v>
      </c>
      <c r="I228">
        <v>12</v>
      </c>
      <c r="J228" t="s">
        <v>53</v>
      </c>
      <c r="K228" t="s">
        <v>102</v>
      </c>
    </row>
    <row r="229" spans="1:11" x14ac:dyDescent="0.2">
      <c r="A229" t="s">
        <v>335</v>
      </c>
      <c r="B229" s="1">
        <v>46200</v>
      </c>
      <c r="C229" t="s">
        <v>186</v>
      </c>
      <c r="D229" t="s">
        <v>101</v>
      </c>
      <c r="E229" t="s">
        <v>14</v>
      </c>
      <c r="F229" t="s">
        <v>30</v>
      </c>
      <c r="G229" s="2">
        <v>46200.791666666657</v>
      </c>
      <c r="H229" s="2">
        <v>46201.291666666657</v>
      </c>
      <c r="I229">
        <v>12</v>
      </c>
      <c r="J229" t="s">
        <v>51</v>
      </c>
      <c r="K229" t="s">
        <v>102</v>
      </c>
    </row>
    <row r="230" spans="1:11" x14ac:dyDescent="0.2">
      <c r="A230" t="s">
        <v>336</v>
      </c>
      <c r="B230" s="1">
        <v>46200</v>
      </c>
      <c r="C230" t="s">
        <v>186</v>
      </c>
      <c r="D230" t="s">
        <v>101</v>
      </c>
      <c r="E230" t="s">
        <v>38</v>
      </c>
      <c r="F230" t="s">
        <v>23</v>
      </c>
      <c r="G230" s="2">
        <v>46200.291666666657</v>
      </c>
      <c r="H230" s="2">
        <v>46200.791666666657</v>
      </c>
      <c r="I230">
        <v>12</v>
      </c>
      <c r="J230" t="s">
        <v>59</v>
      </c>
      <c r="K230" t="s">
        <v>102</v>
      </c>
    </row>
    <row r="231" spans="1:11" x14ac:dyDescent="0.2">
      <c r="A231" t="s">
        <v>337</v>
      </c>
      <c r="B231" s="1">
        <v>46200</v>
      </c>
      <c r="C231" t="s">
        <v>186</v>
      </c>
      <c r="D231" t="s">
        <v>101</v>
      </c>
      <c r="E231" t="s">
        <v>38</v>
      </c>
      <c r="F231" t="s">
        <v>30</v>
      </c>
      <c r="G231" s="2">
        <v>46200.791666666657</v>
      </c>
      <c r="H231" s="2">
        <v>46201.291666666657</v>
      </c>
      <c r="I231">
        <v>12</v>
      </c>
      <c r="J231" t="s">
        <v>58</v>
      </c>
      <c r="K231" t="s">
        <v>102</v>
      </c>
    </row>
    <row r="232" spans="1:11" x14ac:dyDescent="0.2">
      <c r="A232" t="s">
        <v>338</v>
      </c>
      <c r="B232" s="1">
        <v>46200</v>
      </c>
      <c r="C232" t="s">
        <v>186</v>
      </c>
      <c r="D232" t="s">
        <v>101</v>
      </c>
      <c r="E232" t="s">
        <v>29</v>
      </c>
      <c r="F232" t="s">
        <v>23</v>
      </c>
      <c r="G232" s="2">
        <v>46200.291666666657</v>
      </c>
      <c r="H232" s="2">
        <v>46200.791666666657</v>
      </c>
      <c r="I232">
        <v>12</v>
      </c>
      <c r="J232" t="s">
        <v>63</v>
      </c>
      <c r="K232" t="s">
        <v>102</v>
      </c>
    </row>
    <row r="233" spans="1:11" x14ac:dyDescent="0.2">
      <c r="A233" t="s">
        <v>339</v>
      </c>
      <c r="B233" s="1">
        <v>46200</v>
      </c>
      <c r="C233" t="s">
        <v>186</v>
      </c>
      <c r="D233" t="s">
        <v>101</v>
      </c>
      <c r="E233" t="s">
        <v>29</v>
      </c>
      <c r="F233" t="s">
        <v>30</v>
      </c>
      <c r="G233" s="2">
        <v>46200.791666666657</v>
      </c>
      <c r="H233" s="2">
        <v>46201.291666666657</v>
      </c>
      <c r="I233">
        <v>12</v>
      </c>
      <c r="J233" t="s">
        <v>65</v>
      </c>
      <c r="K233" t="s">
        <v>102</v>
      </c>
    </row>
    <row r="234" spans="1:11" x14ac:dyDescent="0.2">
      <c r="A234" t="s">
        <v>340</v>
      </c>
      <c r="B234" s="1">
        <v>46200</v>
      </c>
      <c r="C234" t="s">
        <v>186</v>
      </c>
      <c r="D234" t="s">
        <v>101</v>
      </c>
      <c r="E234" t="s">
        <v>20</v>
      </c>
      <c r="F234" t="s">
        <v>23</v>
      </c>
      <c r="G234" s="2">
        <v>46200.291666666657</v>
      </c>
      <c r="H234" s="2">
        <v>46200.791666666657</v>
      </c>
      <c r="I234">
        <v>12</v>
      </c>
      <c r="J234" t="s">
        <v>71</v>
      </c>
      <c r="K234" t="s">
        <v>102</v>
      </c>
    </row>
    <row r="235" spans="1:11" x14ac:dyDescent="0.2">
      <c r="A235" t="s">
        <v>341</v>
      </c>
      <c r="B235" s="1">
        <v>46200</v>
      </c>
      <c r="C235" t="s">
        <v>186</v>
      </c>
      <c r="D235" t="s">
        <v>101</v>
      </c>
      <c r="E235" t="s">
        <v>20</v>
      </c>
      <c r="F235" t="s">
        <v>30</v>
      </c>
      <c r="G235" s="2">
        <v>46200.791666666657</v>
      </c>
      <c r="H235" s="2">
        <v>46201.291666666657</v>
      </c>
      <c r="I235">
        <v>12</v>
      </c>
      <c r="J235" t="s">
        <v>70</v>
      </c>
      <c r="K235" t="s">
        <v>102</v>
      </c>
    </row>
    <row r="236" spans="1:11" x14ac:dyDescent="0.2">
      <c r="A236" t="s">
        <v>342</v>
      </c>
      <c r="B236" s="1">
        <v>46200</v>
      </c>
      <c r="C236" t="s">
        <v>186</v>
      </c>
      <c r="D236" t="s">
        <v>101</v>
      </c>
      <c r="E236" t="s">
        <v>72</v>
      </c>
      <c r="F236" t="s">
        <v>23</v>
      </c>
      <c r="G236" s="2">
        <v>46200.291666666657</v>
      </c>
      <c r="H236" s="2">
        <v>46200.791666666657</v>
      </c>
      <c r="I236">
        <v>12</v>
      </c>
      <c r="J236" t="s">
        <v>74</v>
      </c>
      <c r="K236" t="s">
        <v>102</v>
      </c>
    </row>
    <row r="237" spans="1:11" x14ac:dyDescent="0.2">
      <c r="A237" t="s">
        <v>343</v>
      </c>
      <c r="B237" s="1">
        <v>46200</v>
      </c>
      <c r="C237" t="s">
        <v>186</v>
      </c>
      <c r="D237" t="s">
        <v>101</v>
      </c>
      <c r="E237" t="s">
        <v>72</v>
      </c>
      <c r="F237" t="s">
        <v>30</v>
      </c>
      <c r="G237" s="2">
        <v>46200.791666666657</v>
      </c>
      <c r="H237" s="2">
        <v>46201.291666666657</v>
      </c>
      <c r="I237">
        <v>12</v>
      </c>
      <c r="J237" t="s">
        <v>75</v>
      </c>
      <c r="K237" t="s">
        <v>102</v>
      </c>
    </row>
    <row r="238" spans="1:11" x14ac:dyDescent="0.2">
      <c r="A238" t="s">
        <v>344</v>
      </c>
      <c r="B238" s="1">
        <v>46200</v>
      </c>
      <c r="C238" t="s">
        <v>186</v>
      </c>
      <c r="D238" t="s">
        <v>101</v>
      </c>
      <c r="E238" t="s">
        <v>56</v>
      </c>
      <c r="F238" t="s">
        <v>23</v>
      </c>
      <c r="G238" s="2">
        <v>46200.291666666657</v>
      </c>
      <c r="H238" s="2">
        <v>46200.791666666657</v>
      </c>
      <c r="I238">
        <v>12</v>
      </c>
      <c r="J238" t="s">
        <v>83</v>
      </c>
      <c r="K238" t="s">
        <v>102</v>
      </c>
    </row>
    <row r="239" spans="1:11" x14ac:dyDescent="0.2">
      <c r="A239" t="s">
        <v>345</v>
      </c>
      <c r="B239" s="1">
        <v>46200</v>
      </c>
      <c r="C239" t="s">
        <v>186</v>
      </c>
      <c r="D239" t="s">
        <v>101</v>
      </c>
      <c r="E239" t="s">
        <v>56</v>
      </c>
      <c r="F239" t="s">
        <v>30</v>
      </c>
      <c r="G239" s="2">
        <v>46200.791666666657</v>
      </c>
      <c r="H239" s="2">
        <v>46201.291666666657</v>
      </c>
      <c r="I239">
        <v>12</v>
      </c>
      <c r="J239" t="s">
        <v>82</v>
      </c>
      <c r="K239" t="s">
        <v>102</v>
      </c>
    </row>
    <row r="240" spans="1:11" x14ac:dyDescent="0.2">
      <c r="A240" t="s">
        <v>346</v>
      </c>
      <c r="B240" s="1">
        <v>46200</v>
      </c>
      <c r="C240" t="s">
        <v>186</v>
      </c>
      <c r="D240" t="s">
        <v>101</v>
      </c>
      <c r="E240" t="s">
        <v>50</v>
      </c>
      <c r="F240" t="s">
        <v>23</v>
      </c>
      <c r="G240" s="2">
        <v>46200.291666666657</v>
      </c>
      <c r="H240" s="2">
        <v>46200.791666666657</v>
      </c>
      <c r="I240">
        <v>12</v>
      </c>
      <c r="J240" t="s">
        <v>85</v>
      </c>
      <c r="K240" t="s">
        <v>102</v>
      </c>
    </row>
    <row r="241" spans="1:11" x14ac:dyDescent="0.2">
      <c r="A241" t="s">
        <v>347</v>
      </c>
      <c r="B241" s="1">
        <v>46200</v>
      </c>
      <c r="C241" t="s">
        <v>186</v>
      </c>
      <c r="D241" t="s">
        <v>101</v>
      </c>
      <c r="E241" t="s">
        <v>50</v>
      </c>
      <c r="F241" t="s">
        <v>30</v>
      </c>
      <c r="G241" s="2">
        <v>46200.791666666657</v>
      </c>
      <c r="H241" s="2">
        <v>46201.291666666657</v>
      </c>
      <c r="I241">
        <v>12</v>
      </c>
      <c r="J241" t="s">
        <v>88</v>
      </c>
      <c r="K241" t="s">
        <v>102</v>
      </c>
    </row>
    <row r="242" spans="1:11" x14ac:dyDescent="0.2">
      <c r="A242" t="s">
        <v>348</v>
      </c>
      <c r="B242" s="1">
        <v>46201</v>
      </c>
      <c r="C242" t="s">
        <v>207</v>
      </c>
      <c r="D242" t="s">
        <v>101</v>
      </c>
      <c r="E242" t="s">
        <v>32</v>
      </c>
      <c r="F242" t="s">
        <v>23</v>
      </c>
      <c r="G242" s="2">
        <v>46201.291666666657</v>
      </c>
      <c r="H242" s="2">
        <v>46201.791666666657</v>
      </c>
      <c r="I242">
        <v>12</v>
      </c>
      <c r="J242" t="s">
        <v>19</v>
      </c>
      <c r="K242" t="s">
        <v>102</v>
      </c>
    </row>
    <row r="243" spans="1:11" x14ac:dyDescent="0.2">
      <c r="A243" t="s">
        <v>349</v>
      </c>
      <c r="B243" s="1">
        <v>46201</v>
      </c>
      <c r="C243" t="s">
        <v>207</v>
      </c>
      <c r="D243" t="s">
        <v>101</v>
      </c>
      <c r="E243" t="s">
        <v>32</v>
      </c>
      <c r="F243" t="s">
        <v>30</v>
      </c>
      <c r="G243" s="2">
        <v>46201.791666666657</v>
      </c>
      <c r="H243" s="2">
        <v>46202.291666666657</v>
      </c>
      <c r="I243">
        <v>12</v>
      </c>
      <c r="J243" t="s">
        <v>31</v>
      </c>
      <c r="K243" t="s">
        <v>102</v>
      </c>
    </row>
    <row r="244" spans="1:11" x14ac:dyDescent="0.2">
      <c r="A244" t="s">
        <v>350</v>
      </c>
      <c r="B244" s="1">
        <v>46201</v>
      </c>
      <c r="C244" t="s">
        <v>207</v>
      </c>
      <c r="D244" t="s">
        <v>101</v>
      </c>
      <c r="E244" t="s">
        <v>48</v>
      </c>
      <c r="F244" t="s">
        <v>23</v>
      </c>
      <c r="G244" s="2">
        <v>46201.291666666657</v>
      </c>
      <c r="H244" s="2">
        <v>46201.791666666657</v>
      </c>
      <c r="I244">
        <v>12</v>
      </c>
      <c r="J244" t="s">
        <v>41</v>
      </c>
      <c r="K244" t="s">
        <v>102</v>
      </c>
    </row>
    <row r="245" spans="1:11" x14ac:dyDescent="0.2">
      <c r="A245" t="s">
        <v>351</v>
      </c>
      <c r="B245" s="1">
        <v>46201</v>
      </c>
      <c r="C245" t="s">
        <v>207</v>
      </c>
      <c r="D245" t="s">
        <v>101</v>
      </c>
      <c r="E245" t="s">
        <v>48</v>
      </c>
      <c r="F245" t="s">
        <v>30</v>
      </c>
      <c r="G245" s="2">
        <v>46201.791666666657</v>
      </c>
      <c r="H245" s="2">
        <v>46202.291666666657</v>
      </c>
      <c r="I245">
        <v>12</v>
      </c>
      <c r="J245" t="s">
        <v>42</v>
      </c>
      <c r="K245" t="s">
        <v>102</v>
      </c>
    </row>
    <row r="246" spans="1:11" x14ac:dyDescent="0.2">
      <c r="A246" t="s">
        <v>352</v>
      </c>
      <c r="B246" s="1">
        <v>46201</v>
      </c>
      <c r="C246" t="s">
        <v>207</v>
      </c>
      <c r="D246" t="s">
        <v>101</v>
      </c>
      <c r="E246" t="s">
        <v>36</v>
      </c>
      <c r="F246" t="s">
        <v>23</v>
      </c>
      <c r="G246" s="2">
        <v>46201.291666666657</v>
      </c>
      <c r="H246" s="2">
        <v>46201.791666666657</v>
      </c>
      <c r="I246">
        <v>12</v>
      </c>
      <c r="J246" t="s">
        <v>43</v>
      </c>
      <c r="K246" t="s">
        <v>102</v>
      </c>
    </row>
    <row r="247" spans="1:11" x14ac:dyDescent="0.2">
      <c r="A247" t="s">
        <v>353</v>
      </c>
      <c r="B247" s="1">
        <v>46201</v>
      </c>
      <c r="C247" t="s">
        <v>207</v>
      </c>
      <c r="D247" t="s">
        <v>101</v>
      </c>
      <c r="E247" t="s">
        <v>36</v>
      </c>
      <c r="F247" t="s">
        <v>30</v>
      </c>
      <c r="G247" s="2">
        <v>46201.791666666657</v>
      </c>
      <c r="H247" s="2">
        <v>46202.291666666657</v>
      </c>
      <c r="I247">
        <v>12</v>
      </c>
      <c r="J247" t="s">
        <v>45</v>
      </c>
      <c r="K247" t="s">
        <v>102</v>
      </c>
    </row>
    <row r="248" spans="1:11" x14ac:dyDescent="0.2">
      <c r="A248" t="s">
        <v>354</v>
      </c>
      <c r="B248" s="1">
        <v>46201</v>
      </c>
      <c r="C248" t="s">
        <v>207</v>
      </c>
      <c r="D248" t="s">
        <v>101</v>
      </c>
      <c r="E248" t="s">
        <v>14</v>
      </c>
      <c r="F248" t="s">
        <v>23</v>
      </c>
      <c r="G248" s="2">
        <v>46201.291666666657</v>
      </c>
      <c r="H248" s="2">
        <v>46201.791666666657</v>
      </c>
      <c r="I248">
        <v>12</v>
      </c>
      <c r="J248" t="s">
        <v>51</v>
      </c>
      <c r="K248" t="s">
        <v>102</v>
      </c>
    </row>
    <row r="249" spans="1:11" x14ac:dyDescent="0.2">
      <c r="A249" t="s">
        <v>355</v>
      </c>
      <c r="B249" s="1">
        <v>46201</v>
      </c>
      <c r="C249" t="s">
        <v>207</v>
      </c>
      <c r="D249" t="s">
        <v>101</v>
      </c>
      <c r="E249" t="s">
        <v>14</v>
      </c>
      <c r="F249" t="s">
        <v>30</v>
      </c>
      <c r="G249" s="2">
        <v>46201.791666666657</v>
      </c>
      <c r="H249" s="2">
        <v>46202.291666666657</v>
      </c>
      <c r="I249">
        <v>12</v>
      </c>
      <c r="J249" t="s">
        <v>52</v>
      </c>
      <c r="K249" t="s">
        <v>102</v>
      </c>
    </row>
    <row r="250" spans="1:11" x14ac:dyDescent="0.2">
      <c r="A250" t="s">
        <v>356</v>
      </c>
      <c r="B250" s="1">
        <v>46201</v>
      </c>
      <c r="C250" t="s">
        <v>207</v>
      </c>
      <c r="D250" t="s">
        <v>101</v>
      </c>
      <c r="E250" t="s">
        <v>38</v>
      </c>
      <c r="F250" t="s">
        <v>23</v>
      </c>
      <c r="G250" s="2">
        <v>46201.291666666657</v>
      </c>
      <c r="H250" s="2">
        <v>46201.791666666657</v>
      </c>
      <c r="I250">
        <v>12</v>
      </c>
      <c r="J250" t="s">
        <v>55</v>
      </c>
      <c r="K250" t="s">
        <v>102</v>
      </c>
    </row>
    <row r="251" spans="1:11" x14ac:dyDescent="0.2">
      <c r="A251" t="s">
        <v>357</v>
      </c>
      <c r="B251" s="1">
        <v>46201</v>
      </c>
      <c r="C251" t="s">
        <v>207</v>
      </c>
      <c r="D251" t="s">
        <v>101</v>
      </c>
      <c r="E251" t="s">
        <v>38</v>
      </c>
      <c r="F251" t="s">
        <v>30</v>
      </c>
      <c r="G251" s="2">
        <v>46201.791666666657</v>
      </c>
      <c r="H251" s="2">
        <v>46202.291666666657</v>
      </c>
      <c r="I251">
        <v>12</v>
      </c>
      <c r="J251" t="s">
        <v>59</v>
      </c>
      <c r="K251" t="s">
        <v>102</v>
      </c>
    </row>
    <row r="252" spans="1:11" x14ac:dyDescent="0.2">
      <c r="A252" t="s">
        <v>358</v>
      </c>
      <c r="B252" s="1">
        <v>46201</v>
      </c>
      <c r="C252" t="s">
        <v>207</v>
      </c>
      <c r="D252" t="s">
        <v>101</v>
      </c>
      <c r="E252" t="s">
        <v>29</v>
      </c>
      <c r="F252" t="s">
        <v>23</v>
      </c>
      <c r="G252" s="2">
        <v>46201.291666666657</v>
      </c>
      <c r="H252" s="2">
        <v>46201.791666666657</v>
      </c>
      <c r="I252">
        <v>12</v>
      </c>
      <c r="J252" t="s">
        <v>66</v>
      </c>
      <c r="K252" t="s">
        <v>102</v>
      </c>
    </row>
    <row r="253" spans="1:11" x14ac:dyDescent="0.2">
      <c r="A253" t="s">
        <v>359</v>
      </c>
      <c r="B253" s="1">
        <v>46201</v>
      </c>
      <c r="C253" t="s">
        <v>207</v>
      </c>
      <c r="D253" t="s">
        <v>101</v>
      </c>
      <c r="E253" t="s">
        <v>29</v>
      </c>
      <c r="F253" t="s">
        <v>30</v>
      </c>
      <c r="G253" s="2">
        <v>46201.791666666657</v>
      </c>
      <c r="H253" s="2">
        <v>46202.291666666657</v>
      </c>
      <c r="I253">
        <v>12</v>
      </c>
      <c r="J253" t="s">
        <v>62</v>
      </c>
      <c r="K253" t="s">
        <v>102</v>
      </c>
    </row>
    <row r="254" spans="1:11" x14ac:dyDescent="0.2">
      <c r="A254" t="s">
        <v>360</v>
      </c>
      <c r="B254" s="1">
        <v>46201</v>
      </c>
      <c r="C254" t="s">
        <v>207</v>
      </c>
      <c r="D254" t="s">
        <v>101</v>
      </c>
      <c r="E254" t="s">
        <v>20</v>
      </c>
      <c r="F254" t="s">
        <v>23</v>
      </c>
      <c r="G254" s="2">
        <v>46201.291666666657</v>
      </c>
      <c r="H254" s="2">
        <v>46201.791666666657</v>
      </c>
      <c r="I254">
        <v>12</v>
      </c>
      <c r="J254" t="s">
        <v>68</v>
      </c>
      <c r="K254" t="s">
        <v>102</v>
      </c>
    </row>
    <row r="255" spans="1:11" x14ac:dyDescent="0.2">
      <c r="A255" t="s">
        <v>361</v>
      </c>
      <c r="B255" s="1">
        <v>46201</v>
      </c>
      <c r="C255" t="s">
        <v>207</v>
      </c>
      <c r="D255" t="s">
        <v>101</v>
      </c>
      <c r="E255" t="s">
        <v>20</v>
      </c>
      <c r="F255" t="s">
        <v>30</v>
      </c>
      <c r="G255" s="2">
        <v>46201.791666666657</v>
      </c>
      <c r="H255" s="2">
        <v>46202.291666666657</v>
      </c>
      <c r="I255">
        <v>12</v>
      </c>
      <c r="J255" t="s">
        <v>67</v>
      </c>
      <c r="K255" t="s">
        <v>102</v>
      </c>
    </row>
    <row r="256" spans="1:11" x14ac:dyDescent="0.2">
      <c r="A256" t="s">
        <v>362</v>
      </c>
      <c r="B256" s="1">
        <v>46201</v>
      </c>
      <c r="C256" t="s">
        <v>207</v>
      </c>
      <c r="D256" t="s">
        <v>101</v>
      </c>
      <c r="E256" t="s">
        <v>72</v>
      </c>
      <c r="F256" t="s">
        <v>23</v>
      </c>
      <c r="G256" s="2">
        <v>46201.291666666657</v>
      </c>
      <c r="H256" s="2">
        <v>46201.791666666657</v>
      </c>
      <c r="I256">
        <v>12</v>
      </c>
      <c r="J256" t="s">
        <v>74</v>
      </c>
      <c r="K256" t="s">
        <v>102</v>
      </c>
    </row>
    <row r="257" spans="1:11" x14ac:dyDescent="0.2">
      <c r="A257" t="s">
        <v>363</v>
      </c>
      <c r="B257" s="1">
        <v>46201</v>
      </c>
      <c r="C257" t="s">
        <v>207</v>
      </c>
      <c r="D257" t="s">
        <v>101</v>
      </c>
      <c r="E257" t="s">
        <v>72</v>
      </c>
      <c r="F257" t="s">
        <v>30</v>
      </c>
      <c r="G257" s="2">
        <v>46201.791666666657</v>
      </c>
      <c r="H257" s="2">
        <v>46202.291666666657</v>
      </c>
      <c r="I257">
        <v>12</v>
      </c>
      <c r="J257" t="s">
        <v>76</v>
      </c>
      <c r="K257" t="s">
        <v>102</v>
      </c>
    </row>
    <row r="258" spans="1:11" x14ac:dyDescent="0.2">
      <c r="A258" t="s">
        <v>364</v>
      </c>
      <c r="B258" s="1">
        <v>46201</v>
      </c>
      <c r="C258" t="s">
        <v>207</v>
      </c>
      <c r="D258" t="s">
        <v>101</v>
      </c>
      <c r="E258" t="s">
        <v>56</v>
      </c>
      <c r="F258" t="s">
        <v>23</v>
      </c>
      <c r="G258" s="2">
        <v>46201.291666666657</v>
      </c>
      <c r="H258" s="2">
        <v>46201.791666666657</v>
      </c>
      <c r="I258">
        <v>12</v>
      </c>
      <c r="J258" t="s">
        <v>82</v>
      </c>
      <c r="K258" t="s">
        <v>102</v>
      </c>
    </row>
    <row r="259" spans="1:11" x14ac:dyDescent="0.2">
      <c r="A259" t="s">
        <v>365</v>
      </c>
      <c r="B259" s="1">
        <v>46201</v>
      </c>
      <c r="C259" t="s">
        <v>207</v>
      </c>
      <c r="D259" t="s">
        <v>101</v>
      </c>
      <c r="E259" t="s">
        <v>56</v>
      </c>
      <c r="F259" t="s">
        <v>30</v>
      </c>
      <c r="G259" s="2">
        <v>46201.791666666657</v>
      </c>
      <c r="H259" s="2">
        <v>46202.291666666657</v>
      </c>
      <c r="I259">
        <v>12</v>
      </c>
      <c r="J259" t="s">
        <v>80</v>
      </c>
      <c r="K259" t="s">
        <v>102</v>
      </c>
    </row>
    <row r="260" spans="1:11" x14ac:dyDescent="0.2">
      <c r="A260" t="s">
        <v>366</v>
      </c>
      <c r="B260" s="1">
        <v>46201</v>
      </c>
      <c r="C260" t="s">
        <v>207</v>
      </c>
      <c r="D260" t="s">
        <v>101</v>
      </c>
      <c r="E260" t="s">
        <v>50</v>
      </c>
      <c r="F260" t="s">
        <v>23</v>
      </c>
      <c r="G260" s="2">
        <v>46201.291666666657</v>
      </c>
      <c r="H260" s="2">
        <v>46201.791666666657</v>
      </c>
      <c r="I260">
        <v>12</v>
      </c>
      <c r="J260" t="s">
        <v>86</v>
      </c>
      <c r="K260" t="s">
        <v>102</v>
      </c>
    </row>
    <row r="261" spans="1:11" x14ac:dyDescent="0.2">
      <c r="A261" t="s">
        <v>367</v>
      </c>
      <c r="B261" s="1">
        <v>46201</v>
      </c>
      <c r="C261" t="s">
        <v>207</v>
      </c>
      <c r="D261" t="s">
        <v>101</v>
      </c>
      <c r="E261" t="s">
        <v>50</v>
      </c>
      <c r="F261" t="s">
        <v>30</v>
      </c>
      <c r="G261" s="2">
        <v>46201.791666666657</v>
      </c>
      <c r="H261" s="2">
        <v>46202.291666666657</v>
      </c>
      <c r="I261">
        <v>12</v>
      </c>
      <c r="J261" t="s">
        <v>87</v>
      </c>
      <c r="K261" t="s">
        <v>102</v>
      </c>
    </row>
    <row r="262" spans="1:11" x14ac:dyDescent="0.2">
      <c r="A262" t="s">
        <v>368</v>
      </c>
      <c r="B262" s="1">
        <v>46202</v>
      </c>
      <c r="C262" t="s">
        <v>228</v>
      </c>
      <c r="D262" t="s">
        <v>101</v>
      </c>
      <c r="E262" t="s">
        <v>32</v>
      </c>
      <c r="F262" t="s">
        <v>23</v>
      </c>
      <c r="G262" s="2">
        <v>46202.291666666657</v>
      </c>
      <c r="H262" s="2">
        <v>46202.791666666657</v>
      </c>
      <c r="I262">
        <v>12</v>
      </c>
      <c r="J262" t="s">
        <v>19</v>
      </c>
      <c r="K262" t="s">
        <v>102</v>
      </c>
    </row>
    <row r="263" spans="1:11" x14ac:dyDescent="0.2">
      <c r="A263" t="s">
        <v>369</v>
      </c>
      <c r="B263" s="1">
        <v>46202</v>
      </c>
      <c r="C263" t="s">
        <v>228</v>
      </c>
      <c r="D263" t="s">
        <v>101</v>
      </c>
      <c r="E263" t="s">
        <v>32</v>
      </c>
      <c r="F263" t="s">
        <v>30</v>
      </c>
      <c r="G263" s="2">
        <v>46202.791666666657</v>
      </c>
      <c r="H263" s="2">
        <v>46203.291666666657</v>
      </c>
      <c r="I263">
        <v>12</v>
      </c>
      <c r="J263" t="s">
        <v>31</v>
      </c>
      <c r="K263" t="s">
        <v>102</v>
      </c>
    </row>
    <row r="264" spans="1:11" x14ac:dyDescent="0.2">
      <c r="A264" t="s">
        <v>370</v>
      </c>
      <c r="B264" s="1">
        <v>46202</v>
      </c>
      <c r="C264" t="s">
        <v>228</v>
      </c>
      <c r="D264" t="s">
        <v>101</v>
      </c>
      <c r="E264" t="s">
        <v>48</v>
      </c>
      <c r="F264" t="s">
        <v>23</v>
      </c>
      <c r="G264" s="2">
        <v>46202.291666666657</v>
      </c>
      <c r="H264" s="2">
        <v>46202.791666666657</v>
      </c>
      <c r="I264">
        <v>12</v>
      </c>
      <c r="J264" t="s">
        <v>42</v>
      </c>
      <c r="K264" t="s">
        <v>102</v>
      </c>
    </row>
    <row r="265" spans="1:11" x14ac:dyDescent="0.2">
      <c r="A265" t="s">
        <v>371</v>
      </c>
      <c r="B265" s="1">
        <v>46202</v>
      </c>
      <c r="C265" t="s">
        <v>228</v>
      </c>
      <c r="D265" t="s">
        <v>101</v>
      </c>
      <c r="E265" t="s">
        <v>48</v>
      </c>
      <c r="F265" t="s">
        <v>30</v>
      </c>
      <c r="G265" s="2">
        <v>46202.791666666657</v>
      </c>
      <c r="H265" s="2">
        <v>46203.291666666657</v>
      </c>
      <c r="I265">
        <v>12</v>
      </c>
      <c r="J265" t="s">
        <v>40</v>
      </c>
      <c r="K265" t="s">
        <v>102</v>
      </c>
    </row>
    <row r="266" spans="1:11" x14ac:dyDescent="0.2">
      <c r="A266" t="s">
        <v>372</v>
      </c>
      <c r="B266" s="1">
        <v>46202</v>
      </c>
      <c r="C266" t="s">
        <v>228</v>
      </c>
      <c r="D266" t="s">
        <v>101</v>
      </c>
      <c r="E266" t="s">
        <v>36</v>
      </c>
      <c r="F266" t="s">
        <v>23</v>
      </c>
      <c r="G266" s="2">
        <v>46202.291666666657</v>
      </c>
      <c r="H266" s="2">
        <v>46202.791666666657</v>
      </c>
      <c r="I266">
        <v>12</v>
      </c>
      <c r="J266" t="s">
        <v>43</v>
      </c>
      <c r="K266" t="s">
        <v>102</v>
      </c>
    </row>
    <row r="267" spans="1:11" x14ac:dyDescent="0.2">
      <c r="A267" t="s">
        <v>373</v>
      </c>
      <c r="B267" s="1">
        <v>46202</v>
      </c>
      <c r="C267" t="s">
        <v>228</v>
      </c>
      <c r="D267" t="s">
        <v>101</v>
      </c>
      <c r="E267" t="s">
        <v>36</v>
      </c>
      <c r="F267" t="s">
        <v>30</v>
      </c>
      <c r="G267" s="2">
        <v>46202.791666666657</v>
      </c>
      <c r="H267" s="2">
        <v>46203.291666666657</v>
      </c>
      <c r="I267">
        <v>12</v>
      </c>
      <c r="J267" t="s">
        <v>47</v>
      </c>
      <c r="K267" t="s">
        <v>102</v>
      </c>
    </row>
    <row r="268" spans="1:11" x14ac:dyDescent="0.2">
      <c r="A268" t="s">
        <v>374</v>
      </c>
      <c r="B268" s="1">
        <v>46202</v>
      </c>
      <c r="C268" t="s">
        <v>228</v>
      </c>
      <c r="D268" t="s">
        <v>101</v>
      </c>
      <c r="E268" t="s">
        <v>14</v>
      </c>
      <c r="F268" t="s">
        <v>23</v>
      </c>
      <c r="G268" s="2">
        <v>46202.291666666657</v>
      </c>
      <c r="H268" s="2">
        <v>46202.791666666657</v>
      </c>
      <c r="I268">
        <v>12</v>
      </c>
      <c r="J268" t="s">
        <v>53</v>
      </c>
      <c r="K268" t="s">
        <v>102</v>
      </c>
    </row>
    <row r="269" spans="1:11" x14ac:dyDescent="0.2">
      <c r="A269" t="s">
        <v>375</v>
      </c>
      <c r="B269" s="1">
        <v>46202</v>
      </c>
      <c r="C269" t="s">
        <v>228</v>
      </c>
      <c r="D269" t="s">
        <v>101</v>
      </c>
      <c r="E269" t="s">
        <v>14</v>
      </c>
      <c r="F269" t="s">
        <v>30</v>
      </c>
      <c r="G269" s="2">
        <v>46202.791666666657</v>
      </c>
      <c r="H269" s="2">
        <v>46203.291666666657</v>
      </c>
      <c r="I269">
        <v>12</v>
      </c>
      <c r="J269" t="s">
        <v>54</v>
      </c>
      <c r="K269" t="s">
        <v>102</v>
      </c>
    </row>
    <row r="270" spans="1:11" x14ac:dyDescent="0.2">
      <c r="A270" t="s">
        <v>376</v>
      </c>
      <c r="B270" s="1">
        <v>46202</v>
      </c>
      <c r="C270" t="s">
        <v>228</v>
      </c>
      <c r="D270" t="s">
        <v>101</v>
      </c>
      <c r="E270" t="s">
        <v>38</v>
      </c>
      <c r="F270" t="s">
        <v>23</v>
      </c>
      <c r="G270" s="2">
        <v>46202.291666666657</v>
      </c>
      <c r="H270" s="2">
        <v>46202.791666666657</v>
      </c>
      <c r="I270">
        <v>12</v>
      </c>
      <c r="J270" t="s">
        <v>58</v>
      </c>
      <c r="K270" t="s">
        <v>102</v>
      </c>
    </row>
    <row r="271" spans="1:11" x14ac:dyDescent="0.2">
      <c r="A271" t="s">
        <v>377</v>
      </c>
      <c r="B271" s="1">
        <v>46202</v>
      </c>
      <c r="C271" t="s">
        <v>228</v>
      </c>
      <c r="D271" t="s">
        <v>101</v>
      </c>
      <c r="E271" t="s">
        <v>38</v>
      </c>
      <c r="F271" t="s">
        <v>30</v>
      </c>
      <c r="G271" s="2">
        <v>46202.791666666657</v>
      </c>
      <c r="H271" s="2">
        <v>46203.291666666657</v>
      </c>
      <c r="I271">
        <v>12</v>
      </c>
      <c r="J271" t="s">
        <v>61</v>
      </c>
      <c r="K271" t="s">
        <v>102</v>
      </c>
    </row>
    <row r="272" spans="1:11" x14ac:dyDescent="0.2">
      <c r="A272" t="s">
        <v>378</v>
      </c>
      <c r="B272" s="1">
        <v>46202</v>
      </c>
      <c r="C272" t="s">
        <v>228</v>
      </c>
      <c r="D272" t="s">
        <v>101</v>
      </c>
      <c r="E272" t="s">
        <v>29</v>
      </c>
      <c r="F272" t="s">
        <v>23</v>
      </c>
      <c r="G272" s="2">
        <v>46202.291666666657</v>
      </c>
      <c r="H272" s="2">
        <v>46202.791666666657</v>
      </c>
      <c r="I272">
        <v>12</v>
      </c>
      <c r="J272" t="s">
        <v>63</v>
      </c>
      <c r="K272" t="s">
        <v>102</v>
      </c>
    </row>
    <row r="273" spans="1:11" x14ac:dyDescent="0.2">
      <c r="A273" t="s">
        <v>379</v>
      </c>
      <c r="B273" s="1">
        <v>46202</v>
      </c>
      <c r="C273" t="s">
        <v>228</v>
      </c>
      <c r="D273" t="s">
        <v>101</v>
      </c>
      <c r="E273" t="s">
        <v>29</v>
      </c>
      <c r="F273" t="s">
        <v>30</v>
      </c>
      <c r="G273" s="2">
        <v>46202.791666666657</v>
      </c>
      <c r="H273" s="2">
        <v>46203.291666666657</v>
      </c>
      <c r="I273">
        <v>12</v>
      </c>
      <c r="J273" t="s">
        <v>64</v>
      </c>
      <c r="K273" t="s">
        <v>102</v>
      </c>
    </row>
    <row r="274" spans="1:11" x14ac:dyDescent="0.2">
      <c r="A274" t="s">
        <v>380</v>
      </c>
      <c r="B274" s="1">
        <v>46202</v>
      </c>
      <c r="C274" t="s">
        <v>228</v>
      </c>
      <c r="D274" t="s">
        <v>101</v>
      </c>
      <c r="E274" t="s">
        <v>20</v>
      </c>
      <c r="F274" t="s">
        <v>23</v>
      </c>
      <c r="G274" s="2">
        <v>46202.291666666657</v>
      </c>
      <c r="H274" s="2">
        <v>46202.791666666657</v>
      </c>
      <c r="I274">
        <v>12</v>
      </c>
      <c r="J274" t="s">
        <v>67</v>
      </c>
      <c r="K274" t="s">
        <v>102</v>
      </c>
    </row>
    <row r="275" spans="1:11" x14ac:dyDescent="0.2">
      <c r="A275" t="s">
        <v>381</v>
      </c>
      <c r="B275" s="1">
        <v>46202</v>
      </c>
      <c r="C275" t="s">
        <v>228</v>
      </c>
      <c r="D275" t="s">
        <v>101</v>
      </c>
      <c r="E275" t="s">
        <v>20</v>
      </c>
      <c r="F275" t="s">
        <v>30</v>
      </c>
      <c r="G275" s="2">
        <v>46202.791666666657</v>
      </c>
      <c r="H275" s="2">
        <v>46203.291666666657</v>
      </c>
      <c r="I275">
        <v>12</v>
      </c>
      <c r="J275" t="s">
        <v>69</v>
      </c>
      <c r="K275" t="s">
        <v>102</v>
      </c>
    </row>
    <row r="276" spans="1:11" x14ac:dyDescent="0.2">
      <c r="A276" t="s">
        <v>382</v>
      </c>
      <c r="B276" s="1">
        <v>46202</v>
      </c>
      <c r="C276" t="s">
        <v>228</v>
      </c>
      <c r="D276" t="s">
        <v>101</v>
      </c>
      <c r="E276" t="s">
        <v>72</v>
      </c>
      <c r="F276" t="s">
        <v>23</v>
      </c>
      <c r="G276" s="2">
        <v>46202.291666666657</v>
      </c>
      <c r="H276" s="2">
        <v>46202.791666666657</v>
      </c>
      <c r="I276">
        <v>12</v>
      </c>
      <c r="J276" t="s">
        <v>76</v>
      </c>
      <c r="K276" t="s">
        <v>102</v>
      </c>
    </row>
    <row r="277" spans="1:11" x14ac:dyDescent="0.2">
      <c r="A277" t="s">
        <v>383</v>
      </c>
      <c r="B277" s="1">
        <v>46202</v>
      </c>
      <c r="C277" t="s">
        <v>228</v>
      </c>
      <c r="D277" t="s">
        <v>101</v>
      </c>
      <c r="E277" t="s">
        <v>72</v>
      </c>
      <c r="F277" t="s">
        <v>30</v>
      </c>
      <c r="G277" s="2">
        <v>46202.791666666657</v>
      </c>
      <c r="H277" s="2">
        <v>46203.291666666657</v>
      </c>
      <c r="I277">
        <v>12</v>
      </c>
      <c r="J277" t="s">
        <v>74</v>
      </c>
      <c r="K277" t="s">
        <v>102</v>
      </c>
    </row>
    <row r="278" spans="1:11" x14ac:dyDescent="0.2">
      <c r="A278" t="s">
        <v>384</v>
      </c>
      <c r="B278" s="1">
        <v>46202</v>
      </c>
      <c r="C278" t="s">
        <v>228</v>
      </c>
      <c r="D278" t="s">
        <v>101</v>
      </c>
      <c r="E278" t="s">
        <v>56</v>
      </c>
      <c r="F278" t="s">
        <v>23</v>
      </c>
      <c r="G278" s="2">
        <v>46202.291666666657</v>
      </c>
      <c r="H278" s="2">
        <v>46202.791666666657</v>
      </c>
      <c r="I278">
        <v>12</v>
      </c>
      <c r="J278" t="s">
        <v>80</v>
      </c>
      <c r="K278" t="s">
        <v>102</v>
      </c>
    </row>
    <row r="279" spans="1:11" x14ac:dyDescent="0.2">
      <c r="A279" t="s">
        <v>385</v>
      </c>
      <c r="B279" s="1">
        <v>46202</v>
      </c>
      <c r="C279" t="s">
        <v>228</v>
      </c>
      <c r="D279" t="s">
        <v>101</v>
      </c>
      <c r="E279" t="s">
        <v>56</v>
      </c>
      <c r="F279" t="s">
        <v>30</v>
      </c>
      <c r="G279" s="2">
        <v>46202.791666666657</v>
      </c>
      <c r="H279" s="2">
        <v>46203.291666666657</v>
      </c>
      <c r="I279">
        <v>12</v>
      </c>
      <c r="J279" t="s">
        <v>79</v>
      </c>
      <c r="K279" t="s">
        <v>102</v>
      </c>
    </row>
    <row r="280" spans="1:11" x14ac:dyDescent="0.2">
      <c r="A280" t="s">
        <v>386</v>
      </c>
      <c r="B280" s="1">
        <v>46202</v>
      </c>
      <c r="C280" t="s">
        <v>228</v>
      </c>
      <c r="D280" t="s">
        <v>101</v>
      </c>
      <c r="E280" t="s">
        <v>50</v>
      </c>
      <c r="F280" t="s">
        <v>23</v>
      </c>
      <c r="G280" s="2">
        <v>46202.291666666657</v>
      </c>
      <c r="H280" s="2">
        <v>46202.791666666657</v>
      </c>
      <c r="I280">
        <v>12</v>
      </c>
      <c r="J280" t="s">
        <v>85</v>
      </c>
      <c r="K280" t="s">
        <v>102</v>
      </c>
    </row>
    <row r="281" spans="1:11" x14ac:dyDescent="0.2">
      <c r="A281" t="s">
        <v>387</v>
      </c>
      <c r="B281" s="1">
        <v>46202</v>
      </c>
      <c r="C281" t="s">
        <v>228</v>
      </c>
      <c r="D281" t="s">
        <v>101</v>
      </c>
      <c r="E281" t="s">
        <v>50</v>
      </c>
      <c r="F281" t="s">
        <v>30</v>
      </c>
      <c r="G281" s="2">
        <v>46202.791666666657</v>
      </c>
      <c r="H281" s="2">
        <v>46203.291666666657</v>
      </c>
      <c r="I281">
        <v>12</v>
      </c>
      <c r="J281" t="s">
        <v>88</v>
      </c>
      <c r="K281" t="s">
        <v>102</v>
      </c>
    </row>
    <row r="282" spans="1:11" x14ac:dyDescent="0.2">
      <c r="A282" t="s">
        <v>388</v>
      </c>
      <c r="B282" s="1">
        <v>46203</v>
      </c>
      <c r="C282" t="s">
        <v>100</v>
      </c>
      <c r="D282" t="s">
        <v>101</v>
      </c>
      <c r="E282" t="s">
        <v>32</v>
      </c>
      <c r="F282" t="s">
        <v>23</v>
      </c>
      <c r="G282" s="2">
        <v>46203.291666666657</v>
      </c>
      <c r="H282" s="2">
        <v>46203.791666666657</v>
      </c>
      <c r="I282">
        <v>12</v>
      </c>
      <c r="J282" t="s">
        <v>19</v>
      </c>
      <c r="K282" t="s">
        <v>102</v>
      </c>
    </row>
    <row r="283" spans="1:11" x14ac:dyDescent="0.2">
      <c r="A283" t="s">
        <v>389</v>
      </c>
      <c r="B283" s="1">
        <v>46203</v>
      </c>
      <c r="C283" t="s">
        <v>100</v>
      </c>
      <c r="D283" t="s">
        <v>101</v>
      </c>
      <c r="E283" t="s">
        <v>32</v>
      </c>
      <c r="F283" t="s">
        <v>30</v>
      </c>
      <c r="G283" s="2">
        <v>46203.791666666657</v>
      </c>
      <c r="H283" s="2">
        <v>46204.291666666657</v>
      </c>
      <c r="I283">
        <v>12</v>
      </c>
      <c r="J283" t="s">
        <v>13</v>
      </c>
      <c r="K283" t="s">
        <v>102</v>
      </c>
    </row>
    <row r="284" spans="1:11" x14ac:dyDescent="0.2">
      <c r="A284" t="s">
        <v>390</v>
      </c>
      <c r="B284" s="1">
        <v>46203</v>
      </c>
      <c r="C284" t="s">
        <v>100</v>
      </c>
      <c r="D284" t="s">
        <v>101</v>
      </c>
      <c r="E284" t="s">
        <v>48</v>
      </c>
      <c r="F284" t="s">
        <v>23</v>
      </c>
      <c r="G284" s="2">
        <v>46203.291666666657</v>
      </c>
      <c r="H284" s="2">
        <v>46203.791666666657</v>
      </c>
      <c r="I284">
        <v>12</v>
      </c>
      <c r="J284" t="s">
        <v>35</v>
      </c>
      <c r="K284" t="s">
        <v>102</v>
      </c>
    </row>
    <row r="285" spans="1:11" x14ac:dyDescent="0.2">
      <c r="A285" t="s">
        <v>391</v>
      </c>
      <c r="B285" s="1">
        <v>46203</v>
      </c>
      <c r="C285" t="s">
        <v>100</v>
      </c>
      <c r="D285" t="s">
        <v>101</v>
      </c>
      <c r="E285" t="s">
        <v>48</v>
      </c>
      <c r="F285" t="s">
        <v>30</v>
      </c>
      <c r="G285" s="2">
        <v>46203.791666666657</v>
      </c>
      <c r="H285" s="2">
        <v>46204.291666666657</v>
      </c>
      <c r="I285">
        <v>12</v>
      </c>
      <c r="J285" t="s">
        <v>40</v>
      </c>
      <c r="K285" t="s">
        <v>102</v>
      </c>
    </row>
    <row r="286" spans="1:11" x14ac:dyDescent="0.2">
      <c r="A286" t="s">
        <v>392</v>
      </c>
      <c r="B286" s="1">
        <v>46203</v>
      </c>
      <c r="C286" t="s">
        <v>100</v>
      </c>
      <c r="D286" t="s">
        <v>101</v>
      </c>
      <c r="E286" t="s">
        <v>36</v>
      </c>
      <c r="F286" t="s">
        <v>23</v>
      </c>
      <c r="G286" s="2">
        <v>46203.291666666657</v>
      </c>
      <c r="H286" s="2">
        <v>46203.791666666657</v>
      </c>
      <c r="I286">
        <v>12</v>
      </c>
      <c r="J286" t="s">
        <v>46</v>
      </c>
      <c r="K286" t="s">
        <v>102</v>
      </c>
    </row>
    <row r="287" spans="1:11" x14ac:dyDescent="0.2">
      <c r="A287" t="s">
        <v>393</v>
      </c>
      <c r="B287" s="1">
        <v>46203</v>
      </c>
      <c r="C287" t="s">
        <v>100</v>
      </c>
      <c r="D287" t="s">
        <v>101</v>
      </c>
      <c r="E287" t="s">
        <v>36</v>
      </c>
      <c r="F287" t="s">
        <v>30</v>
      </c>
      <c r="G287" s="2">
        <v>46203.791666666657</v>
      </c>
      <c r="H287" s="2">
        <v>46204.291666666657</v>
      </c>
      <c r="I287">
        <v>12</v>
      </c>
      <c r="J287" t="s">
        <v>45</v>
      </c>
      <c r="K287" t="s">
        <v>102</v>
      </c>
    </row>
    <row r="288" spans="1:11" x14ac:dyDescent="0.2">
      <c r="A288" t="s">
        <v>394</v>
      </c>
      <c r="B288" s="1">
        <v>46203</v>
      </c>
      <c r="C288" t="s">
        <v>100</v>
      </c>
      <c r="D288" t="s">
        <v>101</v>
      </c>
      <c r="E288" t="s">
        <v>14</v>
      </c>
      <c r="F288" t="s">
        <v>23</v>
      </c>
      <c r="G288" s="2">
        <v>46203.291666666657</v>
      </c>
      <c r="H288" s="2">
        <v>46203.791666666657</v>
      </c>
      <c r="I288">
        <v>12</v>
      </c>
      <c r="J288" t="s">
        <v>51</v>
      </c>
      <c r="K288" t="s">
        <v>102</v>
      </c>
    </row>
    <row r="289" spans="1:11" x14ac:dyDescent="0.2">
      <c r="A289" t="s">
        <v>395</v>
      </c>
      <c r="B289" s="1">
        <v>46203</v>
      </c>
      <c r="C289" t="s">
        <v>100</v>
      </c>
      <c r="D289" t="s">
        <v>101</v>
      </c>
      <c r="E289" t="s">
        <v>14</v>
      </c>
      <c r="F289" t="s">
        <v>30</v>
      </c>
      <c r="G289" s="2">
        <v>46203.791666666657</v>
      </c>
      <c r="H289" s="2">
        <v>46204.291666666657</v>
      </c>
      <c r="I289">
        <v>12</v>
      </c>
      <c r="J289" t="s">
        <v>53</v>
      </c>
      <c r="K289" t="s">
        <v>102</v>
      </c>
    </row>
    <row r="290" spans="1:11" x14ac:dyDescent="0.2">
      <c r="A290" t="s">
        <v>396</v>
      </c>
      <c r="B290" s="1">
        <v>46203</v>
      </c>
      <c r="C290" t="s">
        <v>100</v>
      </c>
      <c r="D290" t="s">
        <v>101</v>
      </c>
      <c r="E290" t="s">
        <v>38</v>
      </c>
      <c r="F290" t="s">
        <v>23</v>
      </c>
      <c r="G290" s="2">
        <v>46203.291666666657</v>
      </c>
      <c r="H290" s="2">
        <v>46203.791666666657</v>
      </c>
      <c r="I290">
        <v>12</v>
      </c>
      <c r="J290" t="s">
        <v>55</v>
      </c>
      <c r="K290" t="s">
        <v>102</v>
      </c>
    </row>
    <row r="291" spans="1:11" x14ac:dyDescent="0.2">
      <c r="A291" t="s">
        <v>397</v>
      </c>
      <c r="B291" s="1">
        <v>46203</v>
      </c>
      <c r="C291" t="s">
        <v>100</v>
      </c>
      <c r="D291" t="s">
        <v>101</v>
      </c>
      <c r="E291" t="s">
        <v>38</v>
      </c>
      <c r="F291" t="s">
        <v>30</v>
      </c>
      <c r="G291" s="2">
        <v>46203.791666666657</v>
      </c>
      <c r="H291" s="2">
        <v>46204.291666666657</v>
      </c>
      <c r="I291">
        <v>12</v>
      </c>
      <c r="J291" t="s">
        <v>59</v>
      </c>
      <c r="K291" t="s">
        <v>102</v>
      </c>
    </row>
    <row r="292" spans="1:11" x14ac:dyDescent="0.2">
      <c r="A292" t="s">
        <v>398</v>
      </c>
      <c r="B292" s="1">
        <v>46203</v>
      </c>
      <c r="C292" t="s">
        <v>100</v>
      </c>
      <c r="D292" t="s">
        <v>101</v>
      </c>
      <c r="E292" t="s">
        <v>29</v>
      </c>
      <c r="F292" t="s">
        <v>23</v>
      </c>
      <c r="G292" s="2">
        <v>46203.291666666657</v>
      </c>
      <c r="H292" s="2">
        <v>46203.791666666657</v>
      </c>
      <c r="I292">
        <v>12</v>
      </c>
      <c r="J292" t="s">
        <v>63</v>
      </c>
      <c r="K292" t="s">
        <v>102</v>
      </c>
    </row>
    <row r="293" spans="1:11" x14ac:dyDescent="0.2">
      <c r="A293" t="s">
        <v>399</v>
      </c>
      <c r="B293" s="1">
        <v>46203</v>
      </c>
      <c r="C293" t="s">
        <v>100</v>
      </c>
      <c r="D293" t="s">
        <v>101</v>
      </c>
      <c r="E293" t="s">
        <v>29</v>
      </c>
      <c r="F293" t="s">
        <v>30</v>
      </c>
      <c r="G293" s="2">
        <v>46203.791666666657</v>
      </c>
      <c r="H293" s="2">
        <v>46204.291666666657</v>
      </c>
      <c r="I293">
        <v>12</v>
      </c>
      <c r="J293" t="s">
        <v>66</v>
      </c>
      <c r="K293" t="s">
        <v>102</v>
      </c>
    </row>
    <row r="294" spans="1:11" x14ac:dyDescent="0.2">
      <c r="A294" t="s">
        <v>400</v>
      </c>
      <c r="B294" s="1">
        <v>46203</v>
      </c>
      <c r="C294" t="s">
        <v>100</v>
      </c>
      <c r="D294" t="s">
        <v>101</v>
      </c>
      <c r="E294" t="s">
        <v>20</v>
      </c>
      <c r="F294" t="s">
        <v>23</v>
      </c>
      <c r="G294" s="2">
        <v>46203.291666666657</v>
      </c>
      <c r="H294" s="2">
        <v>46203.791666666657</v>
      </c>
      <c r="I294">
        <v>12</v>
      </c>
      <c r="J294" t="s">
        <v>71</v>
      </c>
      <c r="K294" t="s">
        <v>102</v>
      </c>
    </row>
    <row r="295" spans="1:11" x14ac:dyDescent="0.2">
      <c r="A295" t="s">
        <v>401</v>
      </c>
      <c r="B295" s="1">
        <v>46203</v>
      </c>
      <c r="C295" t="s">
        <v>100</v>
      </c>
      <c r="D295" t="s">
        <v>101</v>
      </c>
      <c r="E295" t="s">
        <v>20</v>
      </c>
      <c r="F295" t="s">
        <v>30</v>
      </c>
      <c r="G295" s="2">
        <v>46203.791666666657</v>
      </c>
      <c r="H295" s="2">
        <v>46204.291666666657</v>
      </c>
      <c r="I295">
        <v>12</v>
      </c>
      <c r="J295" t="s">
        <v>69</v>
      </c>
      <c r="K295" t="s">
        <v>102</v>
      </c>
    </row>
    <row r="296" spans="1:11" x14ac:dyDescent="0.2">
      <c r="A296" t="s">
        <v>402</v>
      </c>
      <c r="B296" s="1">
        <v>46203</v>
      </c>
      <c r="C296" t="s">
        <v>100</v>
      </c>
      <c r="D296" t="s">
        <v>101</v>
      </c>
      <c r="E296" t="s">
        <v>72</v>
      </c>
      <c r="F296" t="s">
        <v>23</v>
      </c>
      <c r="G296" s="2">
        <v>46203.291666666657</v>
      </c>
      <c r="H296" s="2">
        <v>46203.791666666657</v>
      </c>
      <c r="I296">
        <v>12</v>
      </c>
      <c r="J296" t="s">
        <v>74</v>
      </c>
      <c r="K296" t="s">
        <v>102</v>
      </c>
    </row>
    <row r="297" spans="1:11" x14ac:dyDescent="0.2">
      <c r="A297" t="s">
        <v>403</v>
      </c>
      <c r="B297" s="1">
        <v>46203</v>
      </c>
      <c r="C297" t="s">
        <v>100</v>
      </c>
      <c r="D297" t="s">
        <v>101</v>
      </c>
      <c r="E297" t="s">
        <v>72</v>
      </c>
      <c r="F297" t="s">
        <v>30</v>
      </c>
      <c r="G297" s="2">
        <v>46203.791666666657</v>
      </c>
      <c r="H297" s="2">
        <v>46204.291666666657</v>
      </c>
      <c r="I297">
        <v>12</v>
      </c>
      <c r="J297" t="s">
        <v>76</v>
      </c>
      <c r="K297" t="s">
        <v>102</v>
      </c>
    </row>
    <row r="298" spans="1:11" x14ac:dyDescent="0.2">
      <c r="A298" t="s">
        <v>404</v>
      </c>
      <c r="B298" s="1">
        <v>46203</v>
      </c>
      <c r="C298" t="s">
        <v>100</v>
      </c>
      <c r="D298" t="s">
        <v>101</v>
      </c>
      <c r="E298" t="s">
        <v>56</v>
      </c>
      <c r="F298" t="s">
        <v>23</v>
      </c>
      <c r="G298" s="2">
        <v>46203.291666666657</v>
      </c>
      <c r="H298" s="2">
        <v>46203.791666666657</v>
      </c>
      <c r="I298">
        <v>12</v>
      </c>
      <c r="J298" t="s">
        <v>79</v>
      </c>
      <c r="K298" t="s">
        <v>102</v>
      </c>
    </row>
    <row r="299" spans="1:11" x14ac:dyDescent="0.2">
      <c r="A299" t="s">
        <v>405</v>
      </c>
      <c r="B299" s="1">
        <v>46203</v>
      </c>
      <c r="C299" t="s">
        <v>100</v>
      </c>
      <c r="D299" t="s">
        <v>101</v>
      </c>
      <c r="E299" t="s">
        <v>56</v>
      </c>
      <c r="F299" t="s">
        <v>30</v>
      </c>
      <c r="G299" s="2">
        <v>46203.791666666657</v>
      </c>
      <c r="H299" s="2">
        <v>46204.291666666657</v>
      </c>
      <c r="I299">
        <v>12</v>
      </c>
      <c r="J299" t="s">
        <v>81</v>
      </c>
      <c r="K299" t="s">
        <v>102</v>
      </c>
    </row>
    <row r="300" spans="1:11" x14ac:dyDescent="0.2">
      <c r="A300" t="s">
        <v>406</v>
      </c>
      <c r="B300" s="1">
        <v>46203</v>
      </c>
      <c r="C300" t="s">
        <v>100</v>
      </c>
      <c r="D300" t="s">
        <v>101</v>
      </c>
      <c r="E300" t="s">
        <v>50</v>
      </c>
      <c r="F300" t="s">
        <v>23</v>
      </c>
      <c r="G300" s="2">
        <v>46203.291666666657</v>
      </c>
      <c r="H300" s="2">
        <v>46203.791666666657</v>
      </c>
      <c r="I300">
        <v>12</v>
      </c>
      <c r="J300" t="s">
        <v>85</v>
      </c>
      <c r="K300" t="s">
        <v>102</v>
      </c>
    </row>
    <row r="301" spans="1:11" x14ac:dyDescent="0.2">
      <c r="A301" t="s">
        <v>407</v>
      </c>
      <c r="B301" s="1">
        <v>46203</v>
      </c>
      <c r="C301" t="s">
        <v>100</v>
      </c>
      <c r="D301" t="s">
        <v>101</v>
      </c>
      <c r="E301" t="s">
        <v>50</v>
      </c>
      <c r="F301" t="s">
        <v>30</v>
      </c>
      <c r="G301" s="2">
        <v>46203.791666666657</v>
      </c>
      <c r="H301" s="2">
        <v>46204.291666666657</v>
      </c>
      <c r="I301">
        <v>12</v>
      </c>
      <c r="J301" t="s">
        <v>84</v>
      </c>
      <c r="K301" t="s">
        <v>102</v>
      </c>
    </row>
    <row r="302" spans="1:11" x14ac:dyDescent="0.2">
      <c r="A302" t="s">
        <v>408</v>
      </c>
      <c r="B302" s="1">
        <v>46204</v>
      </c>
      <c r="C302" t="s">
        <v>123</v>
      </c>
      <c r="D302" t="s">
        <v>101</v>
      </c>
      <c r="E302" t="s">
        <v>32</v>
      </c>
      <c r="F302" t="s">
        <v>23</v>
      </c>
      <c r="G302" s="2">
        <v>46204.291666666657</v>
      </c>
      <c r="H302" s="2">
        <v>46204.791666666657</v>
      </c>
      <c r="I302">
        <v>12</v>
      </c>
      <c r="J302" t="s">
        <v>19</v>
      </c>
      <c r="K302" t="s">
        <v>102</v>
      </c>
    </row>
    <row r="303" spans="1:11" x14ac:dyDescent="0.2">
      <c r="A303" t="s">
        <v>409</v>
      </c>
      <c r="B303" s="1">
        <v>46204</v>
      </c>
      <c r="C303" t="s">
        <v>123</v>
      </c>
      <c r="D303" t="s">
        <v>101</v>
      </c>
      <c r="E303" t="s">
        <v>32</v>
      </c>
      <c r="F303" t="s">
        <v>30</v>
      </c>
      <c r="G303" s="2">
        <v>46204.791666666657</v>
      </c>
      <c r="H303" s="2">
        <v>46205.291666666657</v>
      </c>
      <c r="I303">
        <v>12</v>
      </c>
      <c r="J303" t="s">
        <v>13</v>
      </c>
      <c r="K303" t="s">
        <v>102</v>
      </c>
    </row>
    <row r="304" spans="1:11" x14ac:dyDescent="0.2">
      <c r="A304" t="s">
        <v>410</v>
      </c>
      <c r="B304" s="1">
        <v>46204</v>
      </c>
      <c r="C304" t="s">
        <v>123</v>
      </c>
      <c r="D304" t="s">
        <v>101</v>
      </c>
      <c r="E304" t="s">
        <v>48</v>
      </c>
      <c r="F304" t="s">
        <v>23</v>
      </c>
      <c r="G304" s="2">
        <v>46204.291666666657</v>
      </c>
      <c r="H304" s="2">
        <v>46204.791666666657</v>
      </c>
      <c r="I304">
        <v>12</v>
      </c>
      <c r="J304" t="s">
        <v>35</v>
      </c>
      <c r="K304" t="s">
        <v>102</v>
      </c>
    </row>
    <row r="305" spans="1:11" x14ac:dyDescent="0.2">
      <c r="A305" t="s">
        <v>411</v>
      </c>
      <c r="B305" s="1">
        <v>46204</v>
      </c>
      <c r="C305" t="s">
        <v>123</v>
      </c>
      <c r="D305" t="s">
        <v>101</v>
      </c>
      <c r="E305" t="s">
        <v>48</v>
      </c>
      <c r="F305" t="s">
        <v>30</v>
      </c>
      <c r="G305" s="2">
        <v>46204.791666666657</v>
      </c>
      <c r="H305" s="2">
        <v>46205.291666666657</v>
      </c>
      <c r="I305">
        <v>12</v>
      </c>
      <c r="J305" t="s">
        <v>37</v>
      </c>
      <c r="K305" t="s">
        <v>102</v>
      </c>
    </row>
    <row r="306" spans="1:11" x14ac:dyDescent="0.2">
      <c r="A306" t="s">
        <v>412</v>
      </c>
      <c r="B306" s="1">
        <v>46204</v>
      </c>
      <c r="C306" t="s">
        <v>123</v>
      </c>
      <c r="D306" t="s">
        <v>101</v>
      </c>
      <c r="E306" t="s">
        <v>36</v>
      </c>
      <c r="F306" t="s">
        <v>23</v>
      </c>
      <c r="G306" s="2">
        <v>46204.291666666657</v>
      </c>
      <c r="H306" s="2">
        <v>46204.791666666657</v>
      </c>
      <c r="I306">
        <v>12</v>
      </c>
      <c r="J306" t="s">
        <v>47</v>
      </c>
      <c r="K306" t="s">
        <v>102</v>
      </c>
    </row>
    <row r="307" spans="1:11" x14ac:dyDescent="0.2">
      <c r="A307" t="s">
        <v>413</v>
      </c>
      <c r="B307" s="1">
        <v>46204</v>
      </c>
      <c r="C307" t="s">
        <v>123</v>
      </c>
      <c r="D307" t="s">
        <v>101</v>
      </c>
      <c r="E307" t="s">
        <v>36</v>
      </c>
      <c r="F307" t="s">
        <v>30</v>
      </c>
      <c r="G307" s="2">
        <v>46204.791666666657</v>
      </c>
      <c r="H307" s="2">
        <v>46205.291666666657</v>
      </c>
      <c r="I307">
        <v>12</v>
      </c>
      <c r="J307" t="s">
        <v>44</v>
      </c>
      <c r="K307" t="s">
        <v>102</v>
      </c>
    </row>
    <row r="308" spans="1:11" x14ac:dyDescent="0.2">
      <c r="A308" t="s">
        <v>414</v>
      </c>
      <c r="B308" s="1">
        <v>46204</v>
      </c>
      <c r="C308" t="s">
        <v>123</v>
      </c>
      <c r="D308" t="s">
        <v>101</v>
      </c>
      <c r="E308" t="s">
        <v>14</v>
      </c>
      <c r="F308" t="s">
        <v>23</v>
      </c>
      <c r="G308" s="2">
        <v>46204.291666666657</v>
      </c>
      <c r="H308" s="2">
        <v>46204.791666666657</v>
      </c>
      <c r="I308">
        <v>12</v>
      </c>
      <c r="J308" t="s">
        <v>54</v>
      </c>
      <c r="K308" t="s">
        <v>102</v>
      </c>
    </row>
    <row r="309" spans="1:11" x14ac:dyDescent="0.2">
      <c r="A309" t="s">
        <v>415</v>
      </c>
      <c r="B309" s="1">
        <v>46204</v>
      </c>
      <c r="C309" t="s">
        <v>123</v>
      </c>
      <c r="D309" t="s">
        <v>101</v>
      </c>
      <c r="E309" t="s">
        <v>14</v>
      </c>
      <c r="F309" t="s">
        <v>30</v>
      </c>
      <c r="G309" s="2">
        <v>46204.791666666657</v>
      </c>
      <c r="H309" s="2">
        <v>46205.291666666657</v>
      </c>
      <c r="I309">
        <v>12</v>
      </c>
      <c r="J309" t="s">
        <v>49</v>
      </c>
      <c r="K309" t="s">
        <v>102</v>
      </c>
    </row>
    <row r="310" spans="1:11" x14ac:dyDescent="0.2">
      <c r="A310" t="s">
        <v>416</v>
      </c>
      <c r="B310" s="1">
        <v>46204</v>
      </c>
      <c r="C310" t="s">
        <v>123</v>
      </c>
      <c r="D310" t="s">
        <v>101</v>
      </c>
      <c r="E310" t="s">
        <v>38</v>
      </c>
      <c r="F310" t="s">
        <v>23</v>
      </c>
      <c r="G310" s="2">
        <v>46204.291666666657</v>
      </c>
      <c r="H310" s="2">
        <v>46204.791666666657</v>
      </c>
      <c r="I310">
        <v>12</v>
      </c>
      <c r="J310" t="s">
        <v>61</v>
      </c>
      <c r="K310" t="s">
        <v>102</v>
      </c>
    </row>
    <row r="311" spans="1:11" x14ac:dyDescent="0.2">
      <c r="A311" t="s">
        <v>417</v>
      </c>
      <c r="B311" s="1">
        <v>46204</v>
      </c>
      <c r="C311" t="s">
        <v>123</v>
      </c>
      <c r="D311" t="s">
        <v>101</v>
      </c>
      <c r="E311" t="s">
        <v>38</v>
      </c>
      <c r="F311" t="s">
        <v>30</v>
      </c>
      <c r="G311" s="2">
        <v>46204.791666666657</v>
      </c>
      <c r="H311" s="2">
        <v>46205.291666666657</v>
      </c>
      <c r="I311">
        <v>12</v>
      </c>
      <c r="J311" t="s">
        <v>58</v>
      </c>
      <c r="K311" t="s">
        <v>102</v>
      </c>
    </row>
    <row r="312" spans="1:11" x14ac:dyDescent="0.2">
      <c r="A312" t="s">
        <v>418</v>
      </c>
      <c r="B312" s="1">
        <v>46204</v>
      </c>
      <c r="C312" t="s">
        <v>123</v>
      </c>
      <c r="D312" t="s">
        <v>101</v>
      </c>
      <c r="E312" t="s">
        <v>29</v>
      </c>
      <c r="F312" t="s">
        <v>23</v>
      </c>
      <c r="G312" s="2">
        <v>46204.291666666657</v>
      </c>
      <c r="H312" s="2">
        <v>46204.791666666657</v>
      </c>
      <c r="I312">
        <v>12</v>
      </c>
      <c r="J312" t="s">
        <v>65</v>
      </c>
      <c r="K312" t="s">
        <v>102</v>
      </c>
    </row>
    <row r="313" spans="1:11" x14ac:dyDescent="0.2">
      <c r="A313" t="s">
        <v>419</v>
      </c>
      <c r="B313" s="1">
        <v>46204</v>
      </c>
      <c r="C313" t="s">
        <v>123</v>
      </c>
      <c r="D313" t="s">
        <v>101</v>
      </c>
      <c r="E313" t="s">
        <v>29</v>
      </c>
      <c r="F313" t="s">
        <v>30</v>
      </c>
      <c r="G313" s="2">
        <v>46204.791666666657</v>
      </c>
      <c r="H313" s="2">
        <v>46205.291666666657</v>
      </c>
      <c r="I313">
        <v>12</v>
      </c>
      <c r="J313" t="s">
        <v>66</v>
      </c>
      <c r="K313" t="s">
        <v>102</v>
      </c>
    </row>
    <row r="314" spans="1:11" x14ac:dyDescent="0.2">
      <c r="A314" t="s">
        <v>420</v>
      </c>
      <c r="B314" s="1">
        <v>46204</v>
      </c>
      <c r="C314" t="s">
        <v>123</v>
      </c>
      <c r="D314" t="s">
        <v>101</v>
      </c>
      <c r="E314" t="s">
        <v>20</v>
      </c>
      <c r="F314" t="s">
        <v>23</v>
      </c>
      <c r="G314" s="2">
        <v>46204.291666666657</v>
      </c>
      <c r="H314" s="2">
        <v>46204.791666666657</v>
      </c>
      <c r="I314">
        <v>12</v>
      </c>
      <c r="J314" t="s">
        <v>67</v>
      </c>
      <c r="K314" t="s">
        <v>102</v>
      </c>
    </row>
    <row r="315" spans="1:11" x14ac:dyDescent="0.2">
      <c r="A315" t="s">
        <v>421</v>
      </c>
      <c r="B315" s="1">
        <v>46204</v>
      </c>
      <c r="C315" t="s">
        <v>123</v>
      </c>
      <c r="D315" t="s">
        <v>101</v>
      </c>
      <c r="E315" t="s">
        <v>20</v>
      </c>
      <c r="F315" t="s">
        <v>30</v>
      </c>
      <c r="G315" s="2">
        <v>46204.791666666657</v>
      </c>
      <c r="H315" s="2">
        <v>46205.291666666657</v>
      </c>
      <c r="I315">
        <v>12</v>
      </c>
      <c r="J315" t="s">
        <v>68</v>
      </c>
      <c r="K315" t="s">
        <v>102</v>
      </c>
    </row>
    <row r="316" spans="1:11" x14ac:dyDescent="0.2">
      <c r="A316" t="s">
        <v>422</v>
      </c>
      <c r="B316" s="1">
        <v>46204</v>
      </c>
      <c r="C316" t="s">
        <v>123</v>
      </c>
      <c r="D316" t="s">
        <v>101</v>
      </c>
      <c r="E316" t="s">
        <v>72</v>
      </c>
      <c r="F316" t="s">
        <v>23</v>
      </c>
      <c r="G316" s="2">
        <v>46204.291666666657</v>
      </c>
      <c r="H316" s="2">
        <v>46204.791666666657</v>
      </c>
      <c r="I316">
        <v>12</v>
      </c>
      <c r="J316" t="s">
        <v>75</v>
      </c>
      <c r="K316" t="s">
        <v>102</v>
      </c>
    </row>
    <row r="317" spans="1:11" x14ac:dyDescent="0.2">
      <c r="A317" t="s">
        <v>423</v>
      </c>
      <c r="B317" s="1">
        <v>46204</v>
      </c>
      <c r="C317" t="s">
        <v>123</v>
      </c>
      <c r="D317" t="s">
        <v>101</v>
      </c>
      <c r="E317" t="s">
        <v>72</v>
      </c>
      <c r="F317" t="s">
        <v>30</v>
      </c>
      <c r="G317" s="2">
        <v>46204.791666666657</v>
      </c>
      <c r="H317" s="2">
        <v>46205.291666666657</v>
      </c>
      <c r="I317">
        <v>12</v>
      </c>
      <c r="J317" t="s">
        <v>78</v>
      </c>
      <c r="K317" t="s">
        <v>102</v>
      </c>
    </row>
    <row r="318" spans="1:11" x14ac:dyDescent="0.2">
      <c r="A318" t="s">
        <v>424</v>
      </c>
      <c r="B318" s="1">
        <v>46204</v>
      </c>
      <c r="C318" t="s">
        <v>123</v>
      </c>
      <c r="D318" t="s">
        <v>101</v>
      </c>
      <c r="E318" t="s">
        <v>56</v>
      </c>
      <c r="F318" t="s">
        <v>23</v>
      </c>
      <c r="G318" s="2">
        <v>46204.291666666657</v>
      </c>
      <c r="H318" s="2">
        <v>46204.791666666657</v>
      </c>
      <c r="I318">
        <v>12</v>
      </c>
      <c r="J318" t="s">
        <v>83</v>
      </c>
      <c r="K318" t="s">
        <v>102</v>
      </c>
    </row>
    <row r="319" spans="1:11" x14ac:dyDescent="0.2">
      <c r="A319" t="s">
        <v>425</v>
      </c>
      <c r="B319" s="1">
        <v>46204</v>
      </c>
      <c r="C319" t="s">
        <v>123</v>
      </c>
      <c r="D319" t="s">
        <v>101</v>
      </c>
      <c r="E319" t="s">
        <v>56</v>
      </c>
      <c r="F319" t="s">
        <v>30</v>
      </c>
      <c r="G319" s="2">
        <v>46204.791666666657</v>
      </c>
      <c r="H319" s="2">
        <v>46205.291666666657</v>
      </c>
      <c r="I319">
        <v>12</v>
      </c>
      <c r="J319" t="s">
        <v>81</v>
      </c>
      <c r="K319" t="s">
        <v>102</v>
      </c>
    </row>
    <row r="320" spans="1:11" x14ac:dyDescent="0.2">
      <c r="A320" t="s">
        <v>426</v>
      </c>
      <c r="B320" s="1">
        <v>46204</v>
      </c>
      <c r="C320" t="s">
        <v>123</v>
      </c>
      <c r="D320" t="s">
        <v>101</v>
      </c>
      <c r="E320" t="s">
        <v>50</v>
      </c>
      <c r="F320" t="s">
        <v>23</v>
      </c>
      <c r="G320" s="2">
        <v>46204.291666666657</v>
      </c>
      <c r="H320" s="2">
        <v>46204.791666666657</v>
      </c>
      <c r="I320">
        <v>12</v>
      </c>
      <c r="J320" t="s">
        <v>84</v>
      </c>
      <c r="K320" t="s">
        <v>102</v>
      </c>
    </row>
    <row r="321" spans="1:11" x14ac:dyDescent="0.2">
      <c r="A321" t="s">
        <v>427</v>
      </c>
      <c r="B321" s="1">
        <v>46204</v>
      </c>
      <c r="C321" t="s">
        <v>123</v>
      </c>
      <c r="D321" t="s">
        <v>101</v>
      </c>
      <c r="E321" t="s">
        <v>50</v>
      </c>
      <c r="F321" t="s">
        <v>30</v>
      </c>
      <c r="G321" s="2">
        <v>46204.791666666657</v>
      </c>
      <c r="H321" s="2">
        <v>46205.291666666657</v>
      </c>
      <c r="I321">
        <v>12</v>
      </c>
      <c r="J321" t="s">
        <v>88</v>
      </c>
      <c r="K321" t="s">
        <v>102</v>
      </c>
    </row>
    <row r="322" spans="1:11" x14ac:dyDescent="0.2">
      <c r="A322" t="s">
        <v>428</v>
      </c>
      <c r="B322" s="1">
        <v>46205</v>
      </c>
      <c r="C322" t="s">
        <v>144</v>
      </c>
      <c r="D322" t="s">
        <v>101</v>
      </c>
      <c r="E322" t="s">
        <v>32</v>
      </c>
      <c r="F322" t="s">
        <v>23</v>
      </c>
      <c r="G322" s="2">
        <v>46205.291666666657</v>
      </c>
      <c r="H322" s="2">
        <v>46205.791666666657</v>
      </c>
      <c r="I322">
        <v>12</v>
      </c>
      <c r="J322" t="s">
        <v>19</v>
      </c>
      <c r="K322" t="s">
        <v>102</v>
      </c>
    </row>
    <row r="323" spans="1:11" x14ac:dyDescent="0.2">
      <c r="A323" t="s">
        <v>429</v>
      </c>
      <c r="B323" s="1">
        <v>46205</v>
      </c>
      <c r="C323" t="s">
        <v>144</v>
      </c>
      <c r="D323" t="s">
        <v>101</v>
      </c>
      <c r="E323" t="s">
        <v>32</v>
      </c>
      <c r="F323" t="s">
        <v>30</v>
      </c>
      <c r="G323" s="2">
        <v>46205.791666666657</v>
      </c>
      <c r="H323" s="2">
        <v>46206.291666666657</v>
      </c>
      <c r="I323">
        <v>12</v>
      </c>
      <c r="J323" t="s">
        <v>31</v>
      </c>
      <c r="K323" t="s">
        <v>102</v>
      </c>
    </row>
    <row r="324" spans="1:11" x14ac:dyDescent="0.2">
      <c r="A324" t="s">
        <v>430</v>
      </c>
      <c r="B324" s="1">
        <v>46205</v>
      </c>
      <c r="C324" t="s">
        <v>144</v>
      </c>
      <c r="D324" t="s">
        <v>101</v>
      </c>
      <c r="E324" t="s">
        <v>48</v>
      </c>
      <c r="F324" t="s">
        <v>23</v>
      </c>
      <c r="G324" s="2">
        <v>46205.291666666657</v>
      </c>
      <c r="H324" s="2">
        <v>46205.791666666657</v>
      </c>
      <c r="I324">
        <v>12</v>
      </c>
      <c r="J324" t="s">
        <v>37</v>
      </c>
      <c r="K324" t="s">
        <v>102</v>
      </c>
    </row>
    <row r="325" spans="1:11" x14ac:dyDescent="0.2">
      <c r="A325" t="s">
        <v>431</v>
      </c>
      <c r="B325" s="1">
        <v>46205</v>
      </c>
      <c r="C325" t="s">
        <v>144</v>
      </c>
      <c r="D325" t="s">
        <v>101</v>
      </c>
      <c r="E325" t="s">
        <v>48</v>
      </c>
      <c r="F325" t="s">
        <v>30</v>
      </c>
      <c r="G325" s="2">
        <v>46205.791666666657</v>
      </c>
      <c r="H325" s="2">
        <v>46206.291666666657</v>
      </c>
      <c r="I325">
        <v>12</v>
      </c>
      <c r="J325" t="s">
        <v>42</v>
      </c>
      <c r="K325" t="s">
        <v>102</v>
      </c>
    </row>
    <row r="326" spans="1:11" x14ac:dyDescent="0.2">
      <c r="A326" t="s">
        <v>432</v>
      </c>
      <c r="B326" s="1">
        <v>46205</v>
      </c>
      <c r="C326" t="s">
        <v>144</v>
      </c>
      <c r="D326" t="s">
        <v>101</v>
      </c>
      <c r="E326" t="s">
        <v>36</v>
      </c>
      <c r="F326" t="s">
        <v>23</v>
      </c>
      <c r="G326" s="2">
        <v>46205.291666666657</v>
      </c>
      <c r="H326" s="2">
        <v>46205.791666666657</v>
      </c>
      <c r="I326">
        <v>12</v>
      </c>
      <c r="J326" t="s">
        <v>45</v>
      </c>
      <c r="K326" t="s">
        <v>102</v>
      </c>
    </row>
    <row r="327" spans="1:11" x14ac:dyDescent="0.2">
      <c r="A327" t="s">
        <v>433</v>
      </c>
      <c r="B327" s="1">
        <v>46205</v>
      </c>
      <c r="C327" t="s">
        <v>144</v>
      </c>
      <c r="D327" t="s">
        <v>101</v>
      </c>
      <c r="E327" t="s">
        <v>36</v>
      </c>
      <c r="F327" t="s">
        <v>30</v>
      </c>
      <c r="G327" s="2">
        <v>46205.791666666657</v>
      </c>
      <c r="H327" s="2">
        <v>46206.291666666657</v>
      </c>
      <c r="I327">
        <v>12</v>
      </c>
      <c r="J327" t="s">
        <v>44</v>
      </c>
      <c r="K327" t="s">
        <v>102</v>
      </c>
    </row>
    <row r="328" spans="1:11" x14ac:dyDescent="0.2">
      <c r="A328" t="s">
        <v>434</v>
      </c>
      <c r="B328" s="1">
        <v>46205</v>
      </c>
      <c r="C328" t="s">
        <v>144</v>
      </c>
      <c r="D328" t="s">
        <v>101</v>
      </c>
      <c r="E328" t="s">
        <v>14</v>
      </c>
      <c r="F328" t="s">
        <v>23</v>
      </c>
      <c r="G328" s="2">
        <v>46205.291666666657</v>
      </c>
      <c r="H328" s="2">
        <v>46205.791666666657</v>
      </c>
      <c r="I328">
        <v>12</v>
      </c>
      <c r="J328" t="s">
        <v>54</v>
      </c>
      <c r="K328" t="s">
        <v>102</v>
      </c>
    </row>
    <row r="329" spans="1:11" x14ac:dyDescent="0.2">
      <c r="A329" t="s">
        <v>435</v>
      </c>
      <c r="B329" s="1">
        <v>46205</v>
      </c>
      <c r="C329" t="s">
        <v>144</v>
      </c>
      <c r="D329" t="s">
        <v>101</v>
      </c>
      <c r="E329" t="s">
        <v>14</v>
      </c>
      <c r="F329" t="s">
        <v>30</v>
      </c>
      <c r="G329" s="2">
        <v>46205.791666666657</v>
      </c>
      <c r="H329" s="2">
        <v>46206.291666666657</v>
      </c>
      <c r="I329">
        <v>12</v>
      </c>
      <c r="J329" t="s">
        <v>51</v>
      </c>
      <c r="K329" t="s">
        <v>102</v>
      </c>
    </row>
    <row r="330" spans="1:11" x14ac:dyDescent="0.2">
      <c r="A330" t="s">
        <v>436</v>
      </c>
      <c r="B330" s="1">
        <v>46205</v>
      </c>
      <c r="C330" t="s">
        <v>144</v>
      </c>
      <c r="D330" t="s">
        <v>101</v>
      </c>
      <c r="E330" t="s">
        <v>38</v>
      </c>
      <c r="F330" t="s">
        <v>23</v>
      </c>
      <c r="G330" s="2">
        <v>46205.291666666657</v>
      </c>
      <c r="H330" s="2">
        <v>46205.791666666657</v>
      </c>
      <c r="I330">
        <v>12</v>
      </c>
      <c r="J330" t="s">
        <v>55</v>
      </c>
      <c r="K330" t="s">
        <v>102</v>
      </c>
    </row>
    <row r="331" spans="1:11" x14ac:dyDescent="0.2">
      <c r="A331" t="s">
        <v>437</v>
      </c>
      <c r="B331" s="1">
        <v>46205</v>
      </c>
      <c r="C331" t="s">
        <v>144</v>
      </c>
      <c r="D331" t="s">
        <v>101</v>
      </c>
      <c r="E331" t="s">
        <v>38</v>
      </c>
      <c r="F331" t="s">
        <v>30</v>
      </c>
      <c r="G331" s="2">
        <v>46205.791666666657</v>
      </c>
      <c r="H331" s="2">
        <v>46206.291666666657</v>
      </c>
      <c r="I331">
        <v>12</v>
      </c>
      <c r="J331" t="s">
        <v>59</v>
      </c>
      <c r="K331" t="s">
        <v>102</v>
      </c>
    </row>
    <row r="332" spans="1:11" x14ac:dyDescent="0.2">
      <c r="A332" t="s">
        <v>438</v>
      </c>
      <c r="B332" s="1">
        <v>46205</v>
      </c>
      <c r="C332" t="s">
        <v>144</v>
      </c>
      <c r="D332" t="s">
        <v>101</v>
      </c>
      <c r="E332" t="s">
        <v>29</v>
      </c>
      <c r="F332" t="s">
        <v>23</v>
      </c>
      <c r="G332" s="2">
        <v>46205.291666666657</v>
      </c>
      <c r="H332" s="2">
        <v>46205.791666666657</v>
      </c>
      <c r="I332">
        <v>12</v>
      </c>
      <c r="J332" t="s">
        <v>65</v>
      </c>
      <c r="K332" t="s">
        <v>102</v>
      </c>
    </row>
    <row r="333" spans="1:11" x14ac:dyDescent="0.2">
      <c r="A333" t="s">
        <v>439</v>
      </c>
      <c r="B333" s="1">
        <v>46205</v>
      </c>
      <c r="C333" t="s">
        <v>144</v>
      </c>
      <c r="D333" t="s">
        <v>101</v>
      </c>
      <c r="E333" t="s">
        <v>29</v>
      </c>
      <c r="F333" t="s">
        <v>30</v>
      </c>
      <c r="G333" s="2">
        <v>46205.791666666657</v>
      </c>
      <c r="H333" s="2">
        <v>46206.291666666657</v>
      </c>
      <c r="I333">
        <v>12</v>
      </c>
      <c r="J333" t="s">
        <v>64</v>
      </c>
      <c r="K333" t="s">
        <v>102</v>
      </c>
    </row>
    <row r="334" spans="1:11" x14ac:dyDescent="0.2">
      <c r="A334" t="s">
        <v>440</v>
      </c>
      <c r="B334" s="1">
        <v>46205</v>
      </c>
      <c r="C334" t="s">
        <v>144</v>
      </c>
      <c r="D334" t="s">
        <v>101</v>
      </c>
      <c r="E334" t="s">
        <v>20</v>
      </c>
      <c r="F334" t="s">
        <v>23</v>
      </c>
      <c r="G334" s="2">
        <v>46205.291666666657</v>
      </c>
      <c r="H334" s="2">
        <v>46205.791666666657</v>
      </c>
      <c r="I334">
        <v>12</v>
      </c>
      <c r="J334" t="s">
        <v>70</v>
      </c>
      <c r="K334" t="s">
        <v>102</v>
      </c>
    </row>
    <row r="335" spans="1:11" x14ac:dyDescent="0.2">
      <c r="A335" t="s">
        <v>441</v>
      </c>
      <c r="B335" s="1">
        <v>46205</v>
      </c>
      <c r="C335" t="s">
        <v>144</v>
      </c>
      <c r="D335" t="s">
        <v>101</v>
      </c>
      <c r="E335" t="s">
        <v>20</v>
      </c>
      <c r="F335" t="s">
        <v>30</v>
      </c>
      <c r="G335" s="2">
        <v>46205.791666666657</v>
      </c>
      <c r="H335" s="2">
        <v>46206.291666666657</v>
      </c>
      <c r="I335">
        <v>12</v>
      </c>
      <c r="J335" t="s">
        <v>69</v>
      </c>
      <c r="K335" t="s">
        <v>102</v>
      </c>
    </row>
    <row r="336" spans="1:11" x14ac:dyDescent="0.2">
      <c r="A336" t="s">
        <v>442</v>
      </c>
      <c r="B336" s="1">
        <v>46205</v>
      </c>
      <c r="C336" t="s">
        <v>144</v>
      </c>
      <c r="D336" t="s">
        <v>101</v>
      </c>
      <c r="E336" t="s">
        <v>72</v>
      </c>
      <c r="F336" t="s">
        <v>23</v>
      </c>
      <c r="G336" s="2">
        <v>46205.291666666657</v>
      </c>
      <c r="H336" s="2">
        <v>46205.791666666657</v>
      </c>
      <c r="I336">
        <v>12</v>
      </c>
      <c r="J336" t="s">
        <v>75</v>
      </c>
      <c r="K336" t="s">
        <v>102</v>
      </c>
    </row>
    <row r="337" spans="1:11" x14ac:dyDescent="0.2">
      <c r="A337" t="s">
        <v>443</v>
      </c>
      <c r="B337" s="1">
        <v>46205</v>
      </c>
      <c r="C337" t="s">
        <v>144</v>
      </c>
      <c r="D337" t="s">
        <v>101</v>
      </c>
      <c r="E337" t="s">
        <v>72</v>
      </c>
      <c r="F337" t="s">
        <v>30</v>
      </c>
      <c r="G337" s="2">
        <v>46205.791666666657</v>
      </c>
      <c r="H337" s="2">
        <v>46206.291666666657</v>
      </c>
      <c r="I337">
        <v>12</v>
      </c>
      <c r="J337" t="s">
        <v>74</v>
      </c>
      <c r="K337" t="s">
        <v>102</v>
      </c>
    </row>
    <row r="338" spans="1:11" x14ac:dyDescent="0.2">
      <c r="A338" t="s">
        <v>444</v>
      </c>
      <c r="B338" s="1">
        <v>46205</v>
      </c>
      <c r="C338" t="s">
        <v>144</v>
      </c>
      <c r="D338" t="s">
        <v>101</v>
      </c>
      <c r="E338" t="s">
        <v>56</v>
      </c>
      <c r="F338" t="s">
        <v>23</v>
      </c>
      <c r="G338" s="2">
        <v>46205.291666666657</v>
      </c>
      <c r="H338" s="2">
        <v>46205.791666666657</v>
      </c>
      <c r="I338">
        <v>12</v>
      </c>
      <c r="J338" t="s">
        <v>80</v>
      </c>
      <c r="K338" t="s">
        <v>102</v>
      </c>
    </row>
    <row r="339" spans="1:11" x14ac:dyDescent="0.2">
      <c r="A339" t="s">
        <v>445</v>
      </c>
      <c r="B339" s="1">
        <v>46205</v>
      </c>
      <c r="C339" t="s">
        <v>144</v>
      </c>
      <c r="D339" t="s">
        <v>101</v>
      </c>
      <c r="E339" t="s">
        <v>56</v>
      </c>
      <c r="F339" t="s">
        <v>30</v>
      </c>
      <c r="G339" s="2">
        <v>46205.791666666657</v>
      </c>
      <c r="H339" s="2">
        <v>46206.291666666657</v>
      </c>
      <c r="I339">
        <v>12</v>
      </c>
      <c r="J339" t="s">
        <v>82</v>
      </c>
      <c r="K339" t="s">
        <v>102</v>
      </c>
    </row>
    <row r="340" spans="1:11" x14ac:dyDescent="0.2">
      <c r="A340" t="s">
        <v>446</v>
      </c>
      <c r="B340" s="1">
        <v>46205</v>
      </c>
      <c r="C340" t="s">
        <v>144</v>
      </c>
      <c r="D340" t="s">
        <v>101</v>
      </c>
      <c r="E340" t="s">
        <v>50</v>
      </c>
      <c r="F340" t="s">
        <v>23</v>
      </c>
      <c r="G340" s="2">
        <v>46205.291666666657</v>
      </c>
      <c r="H340" s="2">
        <v>46205.791666666657</v>
      </c>
      <c r="I340">
        <v>12</v>
      </c>
      <c r="J340" t="s">
        <v>86</v>
      </c>
      <c r="K340" t="s">
        <v>102</v>
      </c>
    </row>
    <row r="341" spans="1:11" x14ac:dyDescent="0.2">
      <c r="A341" t="s">
        <v>447</v>
      </c>
      <c r="B341" s="1">
        <v>46205</v>
      </c>
      <c r="C341" t="s">
        <v>144</v>
      </c>
      <c r="D341" t="s">
        <v>101</v>
      </c>
      <c r="E341" t="s">
        <v>50</v>
      </c>
      <c r="F341" t="s">
        <v>30</v>
      </c>
      <c r="G341" s="2">
        <v>46205.791666666657</v>
      </c>
      <c r="H341" s="2">
        <v>46206.291666666657</v>
      </c>
      <c r="I341">
        <v>12</v>
      </c>
      <c r="J341" t="s">
        <v>84</v>
      </c>
      <c r="K341" t="s">
        <v>102</v>
      </c>
    </row>
    <row r="342" spans="1:11" x14ac:dyDescent="0.2">
      <c r="A342" t="s">
        <v>448</v>
      </c>
      <c r="B342" s="1">
        <v>46206</v>
      </c>
      <c r="C342" t="s">
        <v>165</v>
      </c>
      <c r="D342" t="s">
        <v>101</v>
      </c>
      <c r="E342" t="s">
        <v>32</v>
      </c>
      <c r="F342" t="s">
        <v>23</v>
      </c>
      <c r="G342" s="2">
        <v>46206.291666666657</v>
      </c>
      <c r="H342" s="2">
        <v>46206.791666666657</v>
      </c>
      <c r="I342">
        <v>12</v>
      </c>
      <c r="J342" t="s">
        <v>13</v>
      </c>
      <c r="K342" t="s">
        <v>102</v>
      </c>
    </row>
    <row r="343" spans="1:11" x14ac:dyDescent="0.2">
      <c r="A343" t="s">
        <v>449</v>
      </c>
      <c r="B343" s="1">
        <v>46206</v>
      </c>
      <c r="C343" t="s">
        <v>165</v>
      </c>
      <c r="D343" t="s">
        <v>101</v>
      </c>
      <c r="E343" t="s">
        <v>32</v>
      </c>
      <c r="F343" t="s">
        <v>30</v>
      </c>
      <c r="G343" s="2">
        <v>46206.791666666657</v>
      </c>
      <c r="H343" s="2">
        <v>46207.291666666657</v>
      </c>
      <c r="I343">
        <v>12</v>
      </c>
      <c r="J343" t="s">
        <v>31</v>
      </c>
      <c r="K343" t="s">
        <v>102</v>
      </c>
    </row>
    <row r="344" spans="1:11" x14ac:dyDescent="0.2">
      <c r="A344" t="s">
        <v>450</v>
      </c>
      <c r="B344" s="1">
        <v>46206</v>
      </c>
      <c r="C344" t="s">
        <v>165</v>
      </c>
      <c r="D344" t="s">
        <v>101</v>
      </c>
      <c r="E344" t="s">
        <v>48</v>
      </c>
      <c r="F344" t="s">
        <v>23</v>
      </c>
      <c r="G344" s="2">
        <v>46206.291666666657</v>
      </c>
      <c r="H344" s="2">
        <v>46206.791666666657</v>
      </c>
      <c r="I344">
        <v>12</v>
      </c>
      <c r="J344" t="s">
        <v>42</v>
      </c>
      <c r="K344" t="s">
        <v>102</v>
      </c>
    </row>
    <row r="345" spans="1:11" x14ac:dyDescent="0.2">
      <c r="A345" t="s">
        <v>451</v>
      </c>
      <c r="B345" s="1">
        <v>46206</v>
      </c>
      <c r="C345" t="s">
        <v>165</v>
      </c>
      <c r="D345" t="s">
        <v>101</v>
      </c>
      <c r="E345" t="s">
        <v>48</v>
      </c>
      <c r="F345" t="s">
        <v>30</v>
      </c>
      <c r="G345" s="2">
        <v>46206.791666666657</v>
      </c>
      <c r="H345" s="2">
        <v>46207.291666666657</v>
      </c>
      <c r="I345">
        <v>12</v>
      </c>
      <c r="J345" t="s">
        <v>35</v>
      </c>
      <c r="K345" t="s">
        <v>102</v>
      </c>
    </row>
    <row r="346" spans="1:11" x14ac:dyDescent="0.2">
      <c r="A346" t="s">
        <v>452</v>
      </c>
      <c r="B346" s="1">
        <v>46206</v>
      </c>
      <c r="C346" t="s">
        <v>165</v>
      </c>
      <c r="D346" t="s">
        <v>101</v>
      </c>
      <c r="E346" t="s">
        <v>36</v>
      </c>
      <c r="F346" t="s">
        <v>23</v>
      </c>
      <c r="G346" s="2">
        <v>46206.291666666657</v>
      </c>
      <c r="H346" s="2">
        <v>46206.791666666657</v>
      </c>
      <c r="I346">
        <v>12</v>
      </c>
      <c r="J346" t="s">
        <v>46</v>
      </c>
      <c r="K346" t="s">
        <v>102</v>
      </c>
    </row>
    <row r="347" spans="1:11" x14ac:dyDescent="0.2">
      <c r="A347" t="s">
        <v>453</v>
      </c>
      <c r="B347" s="1">
        <v>46206</v>
      </c>
      <c r="C347" t="s">
        <v>165</v>
      </c>
      <c r="D347" t="s">
        <v>101</v>
      </c>
      <c r="E347" t="s">
        <v>36</v>
      </c>
      <c r="F347" t="s">
        <v>30</v>
      </c>
      <c r="G347" s="2">
        <v>46206.791666666657</v>
      </c>
      <c r="H347" s="2">
        <v>46207.291666666657</v>
      </c>
      <c r="I347">
        <v>12</v>
      </c>
      <c r="J347" t="s">
        <v>43</v>
      </c>
      <c r="K347" t="s">
        <v>102</v>
      </c>
    </row>
    <row r="348" spans="1:11" x14ac:dyDescent="0.2">
      <c r="A348" t="s">
        <v>454</v>
      </c>
      <c r="B348" s="1">
        <v>46206</v>
      </c>
      <c r="C348" t="s">
        <v>165</v>
      </c>
      <c r="D348" t="s">
        <v>101</v>
      </c>
      <c r="E348" t="s">
        <v>14</v>
      </c>
      <c r="F348" t="s">
        <v>23</v>
      </c>
      <c r="G348" s="2">
        <v>46206.291666666657</v>
      </c>
      <c r="H348" s="2">
        <v>46206.791666666657</v>
      </c>
      <c r="I348">
        <v>12</v>
      </c>
      <c r="J348" t="s">
        <v>52</v>
      </c>
      <c r="K348" t="s">
        <v>102</v>
      </c>
    </row>
    <row r="349" spans="1:11" x14ac:dyDescent="0.2">
      <c r="A349" t="s">
        <v>455</v>
      </c>
      <c r="B349" s="1">
        <v>46206</v>
      </c>
      <c r="C349" t="s">
        <v>165</v>
      </c>
      <c r="D349" t="s">
        <v>101</v>
      </c>
      <c r="E349" t="s">
        <v>14</v>
      </c>
      <c r="F349" t="s">
        <v>30</v>
      </c>
      <c r="G349" s="2">
        <v>46206.791666666657</v>
      </c>
      <c r="H349" s="2">
        <v>46207.291666666657</v>
      </c>
      <c r="I349">
        <v>12</v>
      </c>
      <c r="J349" t="s">
        <v>53</v>
      </c>
      <c r="K349" t="s">
        <v>102</v>
      </c>
    </row>
    <row r="350" spans="1:11" x14ac:dyDescent="0.2">
      <c r="A350" t="s">
        <v>456</v>
      </c>
      <c r="B350" s="1">
        <v>46206</v>
      </c>
      <c r="C350" t="s">
        <v>165</v>
      </c>
      <c r="D350" t="s">
        <v>101</v>
      </c>
      <c r="E350" t="s">
        <v>38</v>
      </c>
      <c r="F350" t="s">
        <v>23</v>
      </c>
      <c r="G350" s="2">
        <v>46206.291666666657</v>
      </c>
      <c r="H350" s="2">
        <v>46206.791666666657</v>
      </c>
      <c r="I350">
        <v>12</v>
      </c>
      <c r="J350" t="s">
        <v>59</v>
      </c>
      <c r="K350" t="s">
        <v>102</v>
      </c>
    </row>
    <row r="351" spans="1:11" x14ac:dyDescent="0.2">
      <c r="A351" t="s">
        <v>457</v>
      </c>
      <c r="B351" s="1">
        <v>46206</v>
      </c>
      <c r="C351" t="s">
        <v>165</v>
      </c>
      <c r="D351" t="s">
        <v>101</v>
      </c>
      <c r="E351" t="s">
        <v>38</v>
      </c>
      <c r="F351" t="s">
        <v>30</v>
      </c>
      <c r="G351" s="2">
        <v>46206.791666666657</v>
      </c>
      <c r="H351" s="2">
        <v>46207.291666666657</v>
      </c>
      <c r="I351">
        <v>12</v>
      </c>
      <c r="J351" t="s">
        <v>55</v>
      </c>
      <c r="K351" t="s">
        <v>102</v>
      </c>
    </row>
    <row r="352" spans="1:11" x14ac:dyDescent="0.2">
      <c r="A352" t="s">
        <v>458</v>
      </c>
      <c r="B352" s="1">
        <v>46206</v>
      </c>
      <c r="C352" t="s">
        <v>165</v>
      </c>
      <c r="D352" t="s">
        <v>101</v>
      </c>
      <c r="E352" t="s">
        <v>29</v>
      </c>
      <c r="F352" t="s">
        <v>23</v>
      </c>
      <c r="G352" s="2">
        <v>46206.291666666657</v>
      </c>
      <c r="H352" s="2">
        <v>46206.791666666657</v>
      </c>
      <c r="I352">
        <v>12</v>
      </c>
      <c r="J352" t="s">
        <v>62</v>
      </c>
      <c r="K352" t="s">
        <v>102</v>
      </c>
    </row>
    <row r="353" spans="1:11" x14ac:dyDescent="0.2">
      <c r="A353" t="s">
        <v>459</v>
      </c>
      <c r="B353" s="1">
        <v>46206</v>
      </c>
      <c r="C353" t="s">
        <v>165</v>
      </c>
      <c r="D353" t="s">
        <v>101</v>
      </c>
      <c r="E353" t="s">
        <v>29</v>
      </c>
      <c r="F353" t="s">
        <v>30</v>
      </c>
      <c r="G353" s="2">
        <v>46206.791666666657</v>
      </c>
      <c r="H353" s="2">
        <v>46207.291666666657</v>
      </c>
      <c r="I353">
        <v>12</v>
      </c>
      <c r="J353" t="s">
        <v>65</v>
      </c>
      <c r="K353" t="s">
        <v>102</v>
      </c>
    </row>
    <row r="354" spans="1:11" x14ac:dyDescent="0.2">
      <c r="A354" t="s">
        <v>460</v>
      </c>
      <c r="B354" s="1">
        <v>46206</v>
      </c>
      <c r="C354" t="s">
        <v>165</v>
      </c>
      <c r="D354" t="s">
        <v>101</v>
      </c>
      <c r="E354" t="s">
        <v>20</v>
      </c>
      <c r="F354" t="s">
        <v>23</v>
      </c>
      <c r="G354" s="2">
        <v>46206.291666666657</v>
      </c>
      <c r="H354" s="2">
        <v>46206.791666666657</v>
      </c>
      <c r="I354">
        <v>12</v>
      </c>
      <c r="J354" t="s">
        <v>71</v>
      </c>
      <c r="K354" t="s">
        <v>102</v>
      </c>
    </row>
    <row r="355" spans="1:11" x14ac:dyDescent="0.2">
      <c r="A355" t="s">
        <v>461</v>
      </c>
      <c r="B355" s="1">
        <v>46206</v>
      </c>
      <c r="C355" t="s">
        <v>165</v>
      </c>
      <c r="D355" t="s">
        <v>101</v>
      </c>
      <c r="E355" t="s">
        <v>20</v>
      </c>
      <c r="F355" t="s">
        <v>30</v>
      </c>
      <c r="G355" s="2">
        <v>46206.791666666657</v>
      </c>
      <c r="H355" s="2">
        <v>46207.291666666657</v>
      </c>
      <c r="I355">
        <v>12</v>
      </c>
      <c r="J355" t="s">
        <v>67</v>
      </c>
      <c r="K355" t="s">
        <v>102</v>
      </c>
    </row>
    <row r="356" spans="1:11" x14ac:dyDescent="0.2">
      <c r="A356" t="s">
        <v>462</v>
      </c>
      <c r="B356" s="1">
        <v>46206</v>
      </c>
      <c r="C356" t="s">
        <v>165</v>
      </c>
      <c r="D356" t="s">
        <v>101</v>
      </c>
      <c r="E356" t="s">
        <v>72</v>
      </c>
      <c r="F356" t="s">
        <v>23</v>
      </c>
      <c r="G356" s="2">
        <v>46206.291666666657</v>
      </c>
      <c r="H356" s="2">
        <v>46206.791666666657</v>
      </c>
      <c r="I356">
        <v>12</v>
      </c>
      <c r="J356" t="s">
        <v>78</v>
      </c>
      <c r="K356" t="s">
        <v>102</v>
      </c>
    </row>
    <row r="357" spans="1:11" x14ac:dyDescent="0.2">
      <c r="A357" t="s">
        <v>463</v>
      </c>
      <c r="B357" s="1">
        <v>46206</v>
      </c>
      <c r="C357" t="s">
        <v>165</v>
      </c>
      <c r="D357" t="s">
        <v>101</v>
      </c>
      <c r="E357" t="s">
        <v>72</v>
      </c>
      <c r="F357" t="s">
        <v>30</v>
      </c>
      <c r="G357" s="2">
        <v>46206.791666666657</v>
      </c>
      <c r="H357" s="2">
        <v>46207.291666666657</v>
      </c>
      <c r="I357">
        <v>12</v>
      </c>
      <c r="J357" t="s">
        <v>75</v>
      </c>
      <c r="K357" t="s">
        <v>102</v>
      </c>
    </row>
    <row r="358" spans="1:11" x14ac:dyDescent="0.2">
      <c r="A358" t="s">
        <v>464</v>
      </c>
      <c r="B358" s="1">
        <v>46206</v>
      </c>
      <c r="C358" t="s">
        <v>165</v>
      </c>
      <c r="D358" t="s">
        <v>101</v>
      </c>
      <c r="E358" t="s">
        <v>56</v>
      </c>
      <c r="F358" t="s">
        <v>23</v>
      </c>
      <c r="G358" s="2">
        <v>46206.291666666657</v>
      </c>
      <c r="H358" s="2">
        <v>46206.791666666657</v>
      </c>
      <c r="I358">
        <v>12</v>
      </c>
      <c r="J358" t="s">
        <v>81</v>
      </c>
      <c r="K358" t="s">
        <v>102</v>
      </c>
    </row>
    <row r="359" spans="1:11" x14ac:dyDescent="0.2">
      <c r="A359" t="s">
        <v>465</v>
      </c>
      <c r="B359" s="1">
        <v>46206</v>
      </c>
      <c r="C359" t="s">
        <v>165</v>
      </c>
      <c r="D359" t="s">
        <v>101</v>
      </c>
      <c r="E359" t="s">
        <v>56</v>
      </c>
      <c r="F359" t="s">
        <v>30</v>
      </c>
      <c r="G359" s="2">
        <v>46206.791666666657</v>
      </c>
      <c r="H359" s="2">
        <v>46207.291666666657</v>
      </c>
      <c r="I359">
        <v>12</v>
      </c>
      <c r="J359" t="s">
        <v>82</v>
      </c>
      <c r="K359" t="s">
        <v>102</v>
      </c>
    </row>
    <row r="360" spans="1:11" x14ac:dyDescent="0.2">
      <c r="A360" t="s">
        <v>466</v>
      </c>
      <c r="B360" s="1">
        <v>46206</v>
      </c>
      <c r="C360" t="s">
        <v>165</v>
      </c>
      <c r="D360" t="s">
        <v>101</v>
      </c>
      <c r="E360" t="s">
        <v>50</v>
      </c>
      <c r="F360" t="s">
        <v>23</v>
      </c>
      <c r="G360" s="2">
        <v>46206.291666666657</v>
      </c>
      <c r="H360" s="2">
        <v>46206.791666666657</v>
      </c>
      <c r="I360">
        <v>12</v>
      </c>
      <c r="J360" t="s">
        <v>87</v>
      </c>
      <c r="K360" t="s">
        <v>102</v>
      </c>
    </row>
    <row r="361" spans="1:11" x14ac:dyDescent="0.2">
      <c r="A361" t="s">
        <v>467</v>
      </c>
      <c r="B361" s="1">
        <v>46206</v>
      </c>
      <c r="C361" t="s">
        <v>165</v>
      </c>
      <c r="D361" t="s">
        <v>101</v>
      </c>
      <c r="E361" t="s">
        <v>50</v>
      </c>
      <c r="F361" t="s">
        <v>30</v>
      </c>
      <c r="G361" s="2">
        <v>46206.791666666657</v>
      </c>
      <c r="H361" s="2">
        <v>46207.291666666657</v>
      </c>
      <c r="I361">
        <v>12</v>
      </c>
      <c r="J361" t="s">
        <v>84</v>
      </c>
      <c r="K361" t="s">
        <v>102</v>
      </c>
    </row>
    <row r="362" spans="1:11" x14ac:dyDescent="0.2">
      <c r="A362" t="s">
        <v>468</v>
      </c>
      <c r="B362" s="1">
        <v>46207</v>
      </c>
      <c r="C362" t="s">
        <v>186</v>
      </c>
      <c r="D362" t="s">
        <v>101</v>
      </c>
      <c r="E362" t="s">
        <v>32</v>
      </c>
      <c r="F362" t="s">
        <v>23</v>
      </c>
      <c r="G362" s="2">
        <v>46207.291666666657</v>
      </c>
      <c r="H362" s="2">
        <v>46207.791666666657</v>
      </c>
      <c r="I362">
        <v>12</v>
      </c>
      <c r="J362" t="s">
        <v>31</v>
      </c>
      <c r="K362" t="s">
        <v>102</v>
      </c>
    </row>
    <row r="363" spans="1:11" x14ac:dyDescent="0.2">
      <c r="A363" t="s">
        <v>469</v>
      </c>
      <c r="B363" s="1">
        <v>46207</v>
      </c>
      <c r="C363" t="s">
        <v>186</v>
      </c>
      <c r="D363" t="s">
        <v>101</v>
      </c>
      <c r="E363" t="s">
        <v>32</v>
      </c>
      <c r="F363" t="s">
        <v>30</v>
      </c>
      <c r="G363" s="2">
        <v>46207.791666666657</v>
      </c>
      <c r="H363" s="2">
        <v>46208.291666666657</v>
      </c>
      <c r="I363">
        <v>12</v>
      </c>
      <c r="J363" t="s">
        <v>19</v>
      </c>
      <c r="K363" t="s">
        <v>102</v>
      </c>
    </row>
    <row r="364" spans="1:11" x14ac:dyDescent="0.2">
      <c r="A364" t="s">
        <v>470</v>
      </c>
      <c r="B364" s="1">
        <v>46207</v>
      </c>
      <c r="C364" t="s">
        <v>186</v>
      </c>
      <c r="D364" t="s">
        <v>101</v>
      </c>
      <c r="E364" t="s">
        <v>48</v>
      </c>
      <c r="F364" t="s">
        <v>23</v>
      </c>
      <c r="G364" s="2">
        <v>46207.291666666657</v>
      </c>
      <c r="H364" s="2">
        <v>46207.791666666657</v>
      </c>
      <c r="I364">
        <v>12</v>
      </c>
      <c r="J364" t="s">
        <v>41</v>
      </c>
      <c r="K364" t="s">
        <v>102</v>
      </c>
    </row>
    <row r="365" spans="1:11" x14ac:dyDescent="0.2">
      <c r="A365" t="s">
        <v>471</v>
      </c>
      <c r="B365" s="1">
        <v>46207</v>
      </c>
      <c r="C365" t="s">
        <v>186</v>
      </c>
      <c r="D365" t="s">
        <v>101</v>
      </c>
      <c r="E365" t="s">
        <v>48</v>
      </c>
      <c r="F365" t="s">
        <v>30</v>
      </c>
      <c r="G365" s="2">
        <v>46207.791666666657</v>
      </c>
      <c r="H365" s="2">
        <v>46208.291666666657</v>
      </c>
      <c r="I365">
        <v>12</v>
      </c>
      <c r="J365" t="s">
        <v>37</v>
      </c>
      <c r="K365" t="s">
        <v>102</v>
      </c>
    </row>
    <row r="366" spans="1:11" x14ac:dyDescent="0.2">
      <c r="A366" t="s">
        <v>472</v>
      </c>
      <c r="B366" s="1">
        <v>46207</v>
      </c>
      <c r="C366" t="s">
        <v>186</v>
      </c>
      <c r="D366" t="s">
        <v>101</v>
      </c>
      <c r="E366" t="s">
        <v>36</v>
      </c>
      <c r="F366" t="s">
        <v>23</v>
      </c>
      <c r="G366" s="2">
        <v>46207.291666666657</v>
      </c>
      <c r="H366" s="2">
        <v>46207.791666666657</v>
      </c>
      <c r="I366">
        <v>12</v>
      </c>
      <c r="J366" t="s">
        <v>47</v>
      </c>
      <c r="K366" t="s">
        <v>102</v>
      </c>
    </row>
    <row r="367" spans="1:11" x14ac:dyDescent="0.2">
      <c r="A367" t="s">
        <v>473</v>
      </c>
      <c r="B367" s="1">
        <v>46207</v>
      </c>
      <c r="C367" t="s">
        <v>186</v>
      </c>
      <c r="D367" t="s">
        <v>101</v>
      </c>
      <c r="E367" t="s">
        <v>36</v>
      </c>
      <c r="F367" t="s">
        <v>30</v>
      </c>
      <c r="G367" s="2">
        <v>46207.791666666657</v>
      </c>
      <c r="H367" s="2">
        <v>46208.291666666657</v>
      </c>
      <c r="I367">
        <v>12</v>
      </c>
      <c r="J367" t="s">
        <v>44</v>
      </c>
      <c r="K367" t="s">
        <v>102</v>
      </c>
    </row>
    <row r="368" spans="1:11" x14ac:dyDescent="0.2">
      <c r="A368" t="s">
        <v>474</v>
      </c>
      <c r="B368" s="1">
        <v>46207</v>
      </c>
      <c r="C368" t="s">
        <v>186</v>
      </c>
      <c r="D368" t="s">
        <v>101</v>
      </c>
      <c r="E368" t="s">
        <v>14</v>
      </c>
      <c r="F368" t="s">
        <v>23</v>
      </c>
      <c r="G368" s="2">
        <v>46207.291666666657</v>
      </c>
      <c r="H368" s="2">
        <v>46207.791666666657</v>
      </c>
      <c r="I368">
        <v>12</v>
      </c>
      <c r="J368" t="s">
        <v>49</v>
      </c>
      <c r="K368" t="s">
        <v>102</v>
      </c>
    </row>
    <row r="369" spans="1:11" x14ac:dyDescent="0.2">
      <c r="A369" t="s">
        <v>475</v>
      </c>
      <c r="B369" s="1">
        <v>46207</v>
      </c>
      <c r="C369" t="s">
        <v>186</v>
      </c>
      <c r="D369" t="s">
        <v>101</v>
      </c>
      <c r="E369" t="s">
        <v>14</v>
      </c>
      <c r="F369" t="s">
        <v>30</v>
      </c>
      <c r="G369" s="2">
        <v>46207.791666666657</v>
      </c>
      <c r="H369" s="2">
        <v>46208.291666666657</v>
      </c>
      <c r="I369">
        <v>12</v>
      </c>
      <c r="J369" t="s">
        <v>52</v>
      </c>
      <c r="K369" t="s">
        <v>102</v>
      </c>
    </row>
    <row r="370" spans="1:11" x14ac:dyDescent="0.2">
      <c r="A370" t="s">
        <v>476</v>
      </c>
      <c r="B370" s="1">
        <v>46207</v>
      </c>
      <c r="C370" t="s">
        <v>186</v>
      </c>
      <c r="D370" t="s">
        <v>101</v>
      </c>
      <c r="E370" t="s">
        <v>38</v>
      </c>
      <c r="F370" t="s">
        <v>23</v>
      </c>
      <c r="G370" s="2">
        <v>46207.291666666657</v>
      </c>
      <c r="H370" s="2">
        <v>46207.791666666657</v>
      </c>
      <c r="I370">
        <v>12</v>
      </c>
      <c r="J370" t="s">
        <v>59</v>
      </c>
      <c r="K370" t="s">
        <v>102</v>
      </c>
    </row>
    <row r="371" spans="1:11" x14ac:dyDescent="0.2">
      <c r="A371" t="s">
        <v>477</v>
      </c>
      <c r="B371" s="1">
        <v>46207</v>
      </c>
      <c r="C371" t="s">
        <v>186</v>
      </c>
      <c r="D371" t="s">
        <v>101</v>
      </c>
      <c r="E371" t="s">
        <v>38</v>
      </c>
      <c r="F371" t="s">
        <v>30</v>
      </c>
      <c r="G371" s="2">
        <v>46207.791666666657</v>
      </c>
      <c r="H371" s="2">
        <v>46208.291666666657</v>
      </c>
      <c r="I371">
        <v>12</v>
      </c>
      <c r="J371" t="s">
        <v>61</v>
      </c>
      <c r="K371" t="s">
        <v>102</v>
      </c>
    </row>
    <row r="372" spans="1:11" x14ac:dyDescent="0.2">
      <c r="A372" t="s">
        <v>478</v>
      </c>
      <c r="B372" s="1">
        <v>46207</v>
      </c>
      <c r="C372" t="s">
        <v>186</v>
      </c>
      <c r="D372" t="s">
        <v>101</v>
      </c>
      <c r="E372" t="s">
        <v>29</v>
      </c>
      <c r="F372" t="s">
        <v>23</v>
      </c>
      <c r="G372" s="2">
        <v>46207.291666666657</v>
      </c>
      <c r="H372" s="2">
        <v>46207.791666666657</v>
      </c>
      <c r="I372">
        <v>12</v>
      </c>
      <c r="J372" t="s">
        <v>66</v>
      </c>
      <c r="K372" t="s">
        <v>102</v>
      </c>
    </row>
    <row r="373" spans="1:11" x14ac:dyDescent="0.2">
      <c r="A373" t="s">
        <v>479</v>
      </c>
      <c r="B373" s="1">
        <v>46207</v>
      </c>
      <c r="C373" t="s">
        <v>186</v>
      </c>
      <c r="D373" t="s">
        <v>101</v>
      </c>
      <c r="E373" t="s">
        <v>29</v>
      </c>
      <c r="F373" t="s">
        <v>30</v>
      </c>
      <c r="G373" s="2">
        <v>46207.791666666657</v>
      </c>
      <c r="H373" s="2">
        <v>46208.291666666657</v>
      </c>
      <c r="I373">
        <v>12</v>
      </c>
      <c r="J373" t="s">
        <v>63</v>
      </c>
      <c r="K373" t="s">
        <v>102</v>
      </c>
    </row>
    <row r="374" spans="1:11" x14ac:dyDescent="0.2">
      <c r="A374" t="s">
        <v>480</v>
      </c>
      <c r="B374" s="1">
        <v>46207</v>
      </c>
      <c r="C374" t="s">
        <v>186</v>
      </c>
      <c r="D374" t="s">
        <v>101</v>
      </c>
      <c r="E374" t="s">
        <v>20</v>
      </c>
      <c r="F374" t="s">
        <v>23</v>
      </c>
      <c r="G374" s="2">
        <v>46207.291666666657</v>
      </c>
      <c r="H374" s="2">
        <v>46207.791666666657</v>
      </c>
      <c r="I374">
        <v>12</v>
      </c>
      <c r="J374" t="s">
        <v>71</v>
      </c>
      <c r="K374" t="s">
        <v>102</v>
      </c>
    </row>
    <row r="375" spans="1:11" x14ac:dyDescent="0.2">
      <c r="A375" t="s">
        <v>481</v>
      </c>
      <c r="B375" s="1">
        <v>46207</v>
      </c>
      <c r="C375" t="s">
        <v>186</v>
      </c>
      <c r="D375" t="s">
        <v>101</v>
      </c>
      <c r="E375" t="s">
        <v>20</v>
      </c>
      <c r="F375" t="s">
        <v>30</v>
      </c>
      <c r="G375" s="2">
        <v>46207.791666666657</v>
      </c>
      <c r="H375" s="2">
        <v>46208.291666666657</v>
      </c>
      <c r="I375">
        <v>12</v>
      </c>
      <c r="J375" t="s">
        <v>68</v>
      </c>
      <c r="K375" t="s">
        <v>102</v>
      </c>
    </row>
    <row r="376" spans="1:11" x14ac:dyDescent="0.2">
      <c r="A376" t="s">
        <v>482</v>
      </c>
      <c r="B376" s="1">
        <v>46207</v>
      </c>
      <c r="C376" t="s">
        <v>186</v>
      </c>
      <c r="D376" t="s">
        <v>101</v>
      </c>
      <c r="E376" t="s">
        <v>72</v>
      </c>
      <c r="F376" t="s">
        <v>23</v>
      </c>
      <c r="G376" s="2">
        <v>46207.291666666657</v>
      </c>
      <c r="H376" s="2">
        <v>46207.791666666657</v>
      </c>
      <c r="I376">
        <v>12</v>
      </c>
      <c r="J376" t="s">
        <v>75</v>
      </c>
      <c r="K376" t="s">
        <v>102</v>
      </c>
    </row>
    <row r="377" spans="1:11" x14ac:dyDescent="0.2">
      <c r="A377" t="s">
        <v>483</v>
      </c>
      <c r="B377" s="1">
        <v>46207</v>
      </c>
      <c r="C377" t="s">
        <v>186</v>
      </c>
      <c r="D377" t="s">
        <v>101</v>
      </c>
      <c r="E377" t="s">
        <v>72</v>
      </c>
      <c r="F377" t="s">
        <v>30</v>
      </c>
      <c r="G377" s="2">
        <v>46207.791666666657</v>
      </c>
      <c r="H377" s="2">
        <v>46208.291666666657</v>
      </c>
      <c r="I377">
        <v>12</v>
      </c>
      <c r="J377" t="s">
        <v>74</v>
      </c>
      <c r="K377" t="s">
        <v>102</v>
      </c>
    </row>
    <row r="378" spans="1:11" x14ac:dyDescent="0.2">
      <c r="A378" t="s">
        <v>484</v>
      </c>
      <c r="B378" s="1">
        <v>46207</v>
      </c>
      <c r="C378" t="s">
        <v>186</v>
      </c>
      <c r="D378" t="s">
        <v>101</v>
      </c>
      <c r="E378" t="s">
        <v>56</v>
      </c>
      <c r="F378" t="s">
        <v>23</v>
      </c>
      <c r="G378" s="2">
        <v>46207.291666666657</v>
      </c>
      <c r="H378" s="2">
        <v>46207.791666666657</v>
      </c>
      <c r="I378">
        <v>12</v>
      </c>
      <c r="J378" t="s">
        <v>81</v>
      </c>
      <c r="K378" t="s">
        <v>102</v>
      </c>
    </row>
    <row r="379" spans="1:11" x14ac:dyDescent="0.2">
      <c r="A379" t="s">
        <v>485</v>
      </c>
      <c r="B379" s="1">
        <v>46207</v>
      </c>
      <c r="C379" t="s">
        <v>186</v>
      </c>
      <c r="D379" t="s">
        <v>101</v>
      </c>
      <c r="E379" t="s">
        <v>56</v>
      </c>
      <c r="F379" t="s">
        <v>30</v>
      </c>
      <c r="G379" s="2">
        <v>46207.791666666657</v>
      </c>
      <c r="H379" s="2">
        <v>46208.291666666657</v>
      </c>
      <c r="I379">
        <v>12</v>
      </c>
      <c r="J379" t="s">
        <v>82</v>
      </c>
      <c r="K379" t="s">
        <v>102</v>
      </c>
    </row>
    <row r="380" spans="1:11" x14ac:dyDescent="0.2">
      <c r="A380" t="s">
        <v>486</v>
      </c>
      <c r="B380" s="1">
        <v>46207</v>
      </c>
      <c r="C380" t="s">
        <v>186</v>
      </c>
      <c r="D380" t="s">
        <v>101</v>
      </c>
      <c r="E380" t="s">
        <v>50</v>
      </c>
      <c r="F380" t="s">
        <v>23</v>
      </c>
      <c r="G380" s="2">
        <v>46207.291666666657</v>
      </c>
      <c r="H380" s="2">
        <v>46207.791666666657</v>
      </c>
      <c r="I380">
        <v>12</v>
      </c>
      <c r="J380" t="s">
        <v>85</v>
      </c>
      <c r="K380" t="s">
        <v>102</v>
      </c>
    </row>
    <row r="381" spans="1:11" x14ac:dyDescent="0.2">
      <c r="A381" t="s">
        <v>487</v>
      </c>
      <c r="B381" s="1">
        <v>46207</v>
      </c>
      <c r="C381" t="s">
        <v>186</v>
      </c>
      <c r="D381" t="s">
        <v>101</v>
      </c>
      <c r="E381" t="s">
        <v>50</v>
      </c>
      <c r="F381" t="s">
        <v>30</v>
      </c>
      <c r="G381" s="2">
        <v>46207.791666666657</v>
      </c>
      <c r="H381" s="2">
        <v>46208.291666666657</v>
      </c>
      <c r="I381">
        <v>12</v>
      </c>
      <c r="J381" t="s">
        <v>88</v>
      </c>
      <c r="K381" t="s">
        <v>102</v>
      </c>
    </row>
    <row r="382" spans="1:11" x14ac:dyDescent="0.2">
      <c r="A382" t="s">
        <v>488</v>
      </c>
      <c r="B382" s="1">
        <v>46208</v>
      </c>
      <c r="C382" t="s">
        <v>207</v>
      </c>
      <c r="D382" t="s">
        <v>101</v>
      </c>
      <c r="E382" t="s">
        <v>32</v>
      </c>
      <c r="F382" t="s">
        <v>23</v>
      </c>
      <c r="G382" s="2">
        <v>46208.291666666657</v>
      </c>
      <c r="H382" s="2">
        <v>46208.791666666657</v>
      </c>
      <c r="I382">
        <v>12</v>
      </c>
      <c r="J382" t="s">
        <v>19</v>
      </c>
      <c r="K382" t="s">
        <v>102</v>
      </c>
    </row>
    <row r="383" spans="1:11" x14ac:dyDescent="0.2">
      <c r="A383" t="s">
        <v>489</v>
      </c>
      <c r="B383" s="1">
        <v>46208</v>
      </c>
      <c r="C383" t="s">
        <v>207</v>
      </c>
      <c r="D383" t="s">
        <v>101</v>
      </c>
      <c r="E383" t="s">
        <v>32</v>
      </c>
      <c r="F383" t="s">
        <v>30</v>
      </c>
      <c r="G383" s="2">
        <v>46208.791666666657</v>
      </c>
      <c r="H383" s="2">
        <v>46209.291666666657</v>
      </c>
      <c r="I383">
        <v>12</v>
      </c>
      <c r="J383" t="s">
        <v>31</v>
      </c>
      <c r="K383" t="s">
        <v>102</v>
      </c>
    </row>
    <row r="384" spans="1:11" x14ac:dyDescent="0.2">
      <c r="A384" t="s">
        <v>490</v>
      </c>
      <c r="B384" s="1">
        <v>46208</v>
      </c>
      <c r="C384" t="s">
        <v>207</v>
      </c>
      <c r="D384" t="s">
        <v>101</v>
      </c>
      <c r="E384" t="s">
        <v>48</v>
      </c>
      <c r="F384" t="s">
        <v>23</v>
      </c>
      <c r="G384" s="2">
        <v>46208.291666666657</v>
      </c>
      <c r="H384" s="2">
        <v>46208.791666666657</v>
      </c>
      <c r="I384">
        <v>12</v>
      </c>
      <c r="J384" t="s">
        <v>40</v>
      </c>
      <c r="K384" t="s">
        <v>102</v>
      </c>
    </row>
    <row r="385" spans="1:11" x14ac:dyDescent="0.2">
      <c r="A385" t="s">
        <v>491</v>
      </c>
      <c r="B385" s="1">
        <v>46208</v>
      </c>
      <c r="C385" t="s">
        <v>207</v>
      </c>
      <c r="D385" t="s">
        <v>101</v>
      </c>
      <c r="E385" t="s">
        <v>48</v>
      </c>
      <c r="F385" t="s">
        <v>30</v>
      </c>
      <c r="G385" s="2">
        <v>46208.791666666657</v>
      </c>
      <c r="H385" s="2">
        <v>46209.291666666657</v>
      </c>
      <c r="I385">
        <v>12</v>
      </c>
      <c r="J385" t="s">
        <v>41</v>
      </c>
      <c r="K385" t="s">
        <v>102</v>
      </c>
    </row>
    <row r="386" spans="1:11" x14ac:dyDescent="0.2">
      <c r="A386" t="s">
        <v>492</v>
      </c>
      <c r="B386" s="1">
        <v>46208</v>
      </c>
      <c r="C386" t="s">
        <v>207</v>
      </c>
      <c r="D386" t="s">
        <v>101</v>
      </c>
      <c r="E386" t="s">
        <v>36</v>
      </c>
      <c r="F386" t="s">
        <v>23</v>
      </c>
      <c r="G386" s="2">
        <v>46208.291666666657</v>
      </c>
      <c r="H386" s="2">
        <v>46208.791666666657</v>
      </c>
      <c r="I386">
        <v>12</v>
      </c>
      <c r="J386" t="s">
        <v>44</v>
      </c>
      <c r="K386" t="s">
        <v>102</v>
      </c>
    </row>
    <row r="387" spans="1:11" x14ac:dyDescent="0.2">
      <c r="A387" t="s">
        <v>493</v>
      </c>
      <c r="B387" s="1">
        <v>46208</v>
      </c>
      <c r="C387" t="s">
        <v>207</v>
      </c>
      <c r="D387" t="s">
        <v>101</v>
      </c>
      <c r="E387" t="s">
        <v>36</v>
      </c>
      <c r="F387" t="s">
        <v>30</v>
      </c>
      <c r="G387" s="2">
        <v>46208.791666666657</v>
      </c>
      <c r="H387" s="2">
        <v>46209.291666666657</v>
      </c>
      <c r="I387">
        <v>12</v>
      </c>
      <c r="J387" t="s">
        <v>43</v>
      </c>
      <c r="K387" t="s">
        <v>102</v>
      </c>
    </row>
    <row r="388" spans="1:11" x14ac:dyDescent="0.2">
      <c r="A388" t="s">
        <v>494</v>
      </c>
      <c r="B388" s="1">
        <v>46208</v>
      </c>
      <c r="C388" t="s">
        <v>207</v>
      </c>
      <c r="D388" t="s">
        <v>101</v>
      </c>
      <c r="E388" t="s">
        <v>14</v>
      </c>
      <c r="F388" t="s">
        <v>23</v>
      </c>
      <c r="G388" s="2">
        <v>46208.291666666657</v>
      </c>
      <c r="H388" s="2">
        <v>46208.791666666657</v>
      </c>
      <c r="I388">
        <v>12</v>
      </c>
      <c r="J388" t="s">
        <v>51</v>
      </c>
      <c r="K388" t="s">
        <v>102</v>
      </c>
    </row>
    <row r="389" spans="1:11" x14ac:dyDescent="0.2">
      <c r="A389" t="s">
        <v>495</v>
      </c>
      <c r="B389" s="1">
        <v>46208</v>
      </c>
      <c r="C389" t="s">
        <v>207</v>
      </c>
      <c r="D389" t="s">
        <v>101</v>
      </c>
      <c r="E389" t="s">
        <v>14</v>
      </c>
      <c r="F389" t="s">
        <v>30</v>
      </c>
      <c r="G389" s="2">
        <v>46208.791666666657</v>
      </c>
      <c r="H389" s="2">
        <v>46209.291666666657</v>
      </c>
      <c r="I389">
        <v>12</v>
      </c>
      <c r="J389" t="s">
        <v>54</v>
      </c>
      <c r="K389" t="s">
        <v>102</v>
      </c>
    </row>
    <row r="390" spans="1:11" x14ac:dyDescent="0.2">
      <c r="A390" t="s">
        <v>496</v>
      </c>
      <c r="B390" s="1">
        <v>46208</v>
      </c>
      <c r="C390" t="s">
        <v>207</v>
      </c>
      <c r="D390" t="s">
        <v>101</v>
      </c>
      <c r="E390" t="s">
        <v>38</v>
      </c>
      <c r="F390" t="s">
        <v>23</v>
      </c>
      <c r="G390" s="2">
        <v>46208.291666666657</v>
      </c>
      <c r="H390" s="2">
        <v>46208.791666666657</v>
      </c>
      <c r="I390">
        <v>12</v>
      </c>
      <c r="J390" t="s">
        <v>61</v>
      </c>
      <c r="K390" t="s">
        <v>102</v>
      </c>
    </row>
    <row r="391" spans="1:11" x14ac:dyDescent="0.2">
      <c r="A391" t="s">
        <v>497</v>
      </c>
      <c r="B391" s="1">
        <v>46208</v>
      </c>
      <c r="C391" t="s">
        <v>207</v>
      </c>
      <c r="D391" t="s">
        <v>101</v>
      </c>
      <c r="E391" t="s">
        <v>38</v>
      </c>
      <c r="F391" t="s">
        <v>30</v>
      </c>
      <c r="G391" s="2">
        <v>46208.791666666657</v>
      </c>
      <c r="H391" s="2">
        <v>46209.291666666657</v>
      </c>
      <c r="I391">
        <v>12</v>
      </c>
      <c r="J391" t="s">
        <v>55</v>
      </c>
      <c r="K391" t="s">
        <v>102</v>
      </c>
    </row>
    <row r="392" spans="1:11" x14ac:dyDescent="0.2">
      <c r="A392" t="s">
        <v>498</v>
      </c>
      <c r="B392" s="1">
        <v>46208</v>
      </c>
      <c r="C392" t="s">
        <v>207</v>
      </c>
      <c r="D392" t="s">
        <v>101</v>
      </c>
      <c r="E392" t="s">
        <v>29</v>
      </c>
      <c r="F392" t="s">
        <v>23</v>
      </c>
      <c r="G392" s="2">
        <v>46208.291666666657</v>
      </c>
      <c r="H392" s="2">
        <v>46208.791666666657</v>
      </c>
      <c r="I392">
        <v>12</v>
      </c>
      <c r="J392" t="s">
        <v>62</v>
      </c>
      <c r="K392" t="s">
        <v>102</v>
      </c>
    </row>
    <row r="393" spans="1:11" x14ac:dyDescent="0.2">
      <c r="A393" t="s">
        <v>499</v>
      </c>
      <c r="B393" s="1">
        <v>46208</v>
      </c>
      <c r="C393" t="s">
        <v>207</v>
      </c>
      <c r="D393" t="s">
        <v>101</v>
      </c>
      <c r="E393" t="s">
        <v>29</v>
      </c>
      <c r="F393" t="s">
        <v>30</v>
      </c>
      <c r="G393" s="2">
        <v>46208.791666666657</v>
      </c>
      <c r="H393" s="2">
        <v>46209.291666666657</v>
      </c>
      <c r="I393">
        <v>12</v>
      </c>
      <c r="J393" t="s">
        <v>66</v>
      </c>
      <c r="K393" t="s">
        <v>102</v>
      </c>
    </row>
    <row r="394" spans="1:11" x14ac:dyDescent="0.2">
      <c r="A394" t="s">
        <v>500</v>
      </c>
      <c r="B394" s="1">
        <v>46208</v>
      </c>
      <c r="C394" t="s">
        <v>207</v>
      </c>
      <c r="D394" t="s">
        <v>101</v>
      </c>
      <c r="E394" t="s">
        <v>20</v>
      </c>
      <c r="F394" t="s">
        <v>23</v>
      </c>
      <c r="G394" s="2">
        <v>46208.291666666657</v>
      </c>
      <c r="H394" s="2">
        <v>46208.791666666657</v>
      </c>
      <c r="I394">
        <v>12</v>
      </c>
      <c r="J394" t="s">
        <v>69</v>
      </c>
      <c r="K394" t="s">
        <v>102</v>
      </c>
    </row>
    <row r="395" spans="1:11" x14ac:dyDescent="0.2">
      <c r="A395" t="s">
        <v>501</v>
      </c>
      <c r="B395" s="1">
        <v>46208</v>
      </c>
      <c r="C395" t="s">
        <v>207</v>
      </c>
      <c r="D395" t="s">
        <v>101</v>
      </c>
      <c r="E395" t="s">
        <v>20</v>
      </c>
      <c r="F395" t="s">
        <v>30</v>
      </c>
      <c r="G395" s="2">
        <v>46208.791666666657</v>
      </c>
      <c r="H395" s="2">
        <v>46209.291666666657</v>
      </c>
      <c r="I395">
        <v>12</v>
      </c>
      <c r="J395" t="s">
        <v>70</v>
      </c>
      <c r="K395" t="s">
        <v>102</v>
      </c>
    </row>
    <row r="396" spans="1:11" x14ac:dyDescent="0.2">
      <c r="A396" t="s">
        <v>502</v>
      </c>
      <c r="B396" s="1">
        <v>46208</v>
      </c>
      <c r="C396" t="s">
        <v>207</v>
      </c>
      <c r="D396" t="s">
        <v>101</v>
      </c>
      <c r="E396" t="s">
        <v>72</v>
      </c>
      <c r="F396" t="s">
        <v>23</v>
      </c>
      <c r="G396" s="2">
        <v>46208.291666666657</v>
      </c>
      <c r="H396" s="2">
        <v>46208.791666666657</v>
      </c>
      <c r="I396">
        <v>12</v>
      </c>
      <c r="J396" t="s">
        <v>74</v>
      </c>
      <c r="K396" t="s">
        <v>102</v>
      </c>
    </row>
    <row r="397" spans="1:11" x14ac:dyDescent="0.2">
      <c r="A397" t="s">
        <v>503</v>
      </c>
      <c r="B397" s="1">
        <v>46208</v>
      </c>
      <c r="C397" t="s">
        <v>207</v>
      </c>
      <c r="D397" t="s">
        <v>101</v>
      </c>
      <c r="E397" t="s">
        <v>72</v>
      </c>
      <c r="F397" t="s">
        <v>30</v>
      </c>
      <c r="G397" s="2">
        <v>46208.791666666657</v>
      </c>
      <c r="H397" s="2">
        <v>46209.291666666657</v>
      </c>
      <c r="I397">
        <v>12</v>
      </c>
      <c r="J397" t="s">
        <v>78</v>
      </c>
      <c r="K397" t="s">
        <v>102</v>
      </c>
    </row>
    <row r="398" spans="1:11" x14ac:dyDescent="0.2">
      <c r="A398" t="s">
        <v>504</v>
      </c>
      <c r="B398" s="1">
        <v>46208</v>
      </c>
      <c r="C398" t="s">
        <v>207</v>
      </c>
      <c r="D398" t="s">
        <v>101</v>
      </c>
      <c r="E398" t="s">
        <v>56</v>
      </c>
      <c r="F398" t="s">
        <v>23</v>
      </c>
      <c r="G398" s="2">
        <v>46208.291666666657</v>
      </c>
      <c r="H398" s="2">
        <v>46208.791666666657</v>
      </c>
      <c r="I398">
        <v>12</v>
      </c>
      <c r="J398" t="s">
        <v>83</v>
      </c>
      <c r="K398" t="s">
        <v>102</v>
      </c>
    </row>
    <row r="399" spans="1:11" x14ac:dyDescent="0.2">
      <c r="A399" t="s">
        <v>505</v>
      </c>
      <c r="B399" s="1">
        <v>46208</v>
      </c>
      <c r="C399" t="s">
        <v>207</v>
      </c>
      <c r="D399" t="s">
        <v>101</v>
      </c>
      <c r="E399" t="s">
        <v>56</v>
      </c>
      <c r="F399" t="s">
        <v>30</v>
      </c>
      <c r="G399" s="2">
        <v>46208.791666666657</v>
      </c>
      <c r="H399" s="2">
        <v>46209.291666666657</v>
      </c>
      <c r="I399">
        <v>12</v>
      </c>
      <c r="J399" t="s">
        <v>80</v>
      </c>
      <c r="K399" t="s">
        <v>102</v>
      </c>
    </row>
    <row r="400" spans="1:11" x14ac:dyDescent="0.2">
      <c r="A400" t="s">
        <v>506</v>
      </c>
      <c r="B400" s="1">
        <v>46208</v>
      </c>
      <c r="C400" t="s">
        <v>207</v>
      </c>
      <c r="D400" t="s">
        <v>101</v>
      </c>
      <c r="E400" t="s">
        <v>50</v>
      </c>
      <c r="F400" t="s">
        <v>23</v>
      </c>
      <c r="G400" s="2">
        <v>46208.291666666657</v>
      </c>
      <c r="H400" s="2">
        <v>46208.791666666657</v>
      </c>
      <c r="I400">
        <v>12</v>
      </c>
      <c r="J400" t="s">
        <v>88</v>
      </c>
      <c r="K400" t="s">
        <v>102</v>
      </c>
    </row>
    <row r="401" spans="1:11" x14ac:dyDescent="0.2">
      <c r="A401" t="s">
        <v>507</v>
      </c>
      <c r="B401" s="1">
        <v>46208</v>
      </c>
      <c r="C401" t="s">
        <v>207</v>
      </c>
      <c r="D401" t="s">
        <v>101</v>
      </c>
      <c r="E401" t="s">
        <v>50</v>
      </c>
      <c r="F401" t="s">
        <v>30</v>
      </c>
      <c r="G401" s="2">
        <v>46208.791666666657</v>
      </c>
      <c r="H401" s="2">
        <v>46209.291666666657</v>
      </c>
      <c r="I401">
        <v>12</v>
      </c>
      <c r="J401" t="s">
        <v>87</v>
      </c>
      <c r="K401" t="s">
        <v>102</v>
      </c>
    </row>
    <row r="402" spans="1:11" x14ac:dyDescent="0.2">
      <c r="A402" t="s">
        <v>508</v>
      </c>
      <c r="B402" s="1">
        <v>46209</v>
      </c>
      <c r="C402" t="s">
        <v>228</v>
      </c>
      <c r="D402" t="s">
        <v>101</v>
      </c>
      <c r="E402" t="s">
        <v>32</v>
      </c>
      <c r="F402" t="s">
        <v>23</v>
      </c>
      <c r="G402" s="2">
        <v>46209.291666666657</v>
      </c>
      <c r="H402" s="2">
        <v>46209.791666666657</v>
      </c>
      <c r="I402">
        <v>12</v>
      </c>
      <c r="J402" t="s">
        <v>31</v>
      </c>
      <c r="K402" t="s">
        <v>102</v>
      </c>
    </row>
    <row r="403" spans="1:11" x14ac:dyDescent="0.2">
      <c r="A403" t="s">
        <v>509</v>
      </c>
      <c r="B403" s="1">
        <v>46209</v>
      </c>
      <c r="C403" t="s">
        <v>228</v>
      </c>
      <c r="D403" t="s">
        <v>101</v>
      </c>
      <c r="E403" t="s">
        <v>32</v>
      </c>
      <c r="F403" t="s">
        <v>30</v>
      </c>
      <c r="G403" s="2">
        <v>46209.791666666657</v>
      </c>
      <c r="H403" s="2">
        <v>46210.291666666657</v>
      </c>
      <c r="I403">
        <v>12</v>
      </c>
      <c r="J403" t="s">
        <v>19</v>
      </c>
      <c r="K403" t="s">
        <v>102</v>
      </c>
    </row>
    <row r="404" spans="1:11" x14ac:dyDescent="0.2">
      <c r="A404" t="s">
        <v>510</v>
      </c>
      <c r="B404" s="1">
        <v>46209</v>
      </c>
      <c r="C404" t="s">
        <v>228</v>
      </c>
      <c r="D404" t="s">
        <v>101</v>
      </c>
      <c r="E404" t="s">
        <v>48</v>
      </c>
      <c r="F404" t="s">
        <v>23</v>
      </c>
      <c r="G404" s="2">
        <v>46209.291666666657</v>
      </c>
      <c r="H404" s="2">
        <v>46209.791666666657</v>
      </c>
      <c r="I404">
        <v>12</v>
      </c>
      <c r="J404" t="s">
        <v>37</v>
      </c>
      <c r="K404" t="s">
        <v>102</v>
      </c>
    </row>
    <row r="405" spans="1:11" x14ac:dyDescent="0.2">
      <c r="A405" t="s">
        <v>511</v>
      </c>
      <c r="B405" s="1">
        <v>46209</v>
      </c>
      <c r="C405" t="s">
        <v>228</v>
      </c>
      <c r="D405" t="s">
        <v>101</v>
      </c>
      <c r="E405" t="s">
        <v>48</v>
      </c>
      <c r="F405" t="s">
        <v>30</v>
      </c>
      <c r="G405" s="2">
        <v>46209.791666666657</v>
      </c>
      <c r="H405" s="2">
        <v>46210.291666666657</v>
      </c>
      <c r="I405">
        <v>12</v>
      </c>
      <c r="J405" t="s">
        <v>42</v>
      </c>
      <c r="K405" t="s">
        <v>102</v>
      </c>
    </row>
    <row r="406" spans="1:11" x14ac:dyDescent="0.2">
      <c r="A406" t="s">
        <v>512</v>
      </c>
      <c r="B406" s="1">
        <v>46209</v>
      </c>
      <c r="C406" t="s">
        <v>228</v>
      </c>
      <c r="D406" t="s">
        <v>101</v>
      </c>
      <c r="E406" t="s">
        <v>36</v>
      </c>
      <c r="F406" t="s">
        <v>23</v>
      </c>
      <c r="G406" s="2">
        <v>46209.291666666657</v>
      </c>
      <c r="H406" s="2">
        <v>46209.791666666657</v>
      </c>
      <c r="I406">
        <v>12</v>
      </c>
      <c r="J406" t="s">
        <v>46</v>
      </c>
      <c r="K406" t="s">
        <v>102</v>
      </c>
    </row>
    <row r="407" spans="1:11" x14ac:dyDescent="0.2">
      <c r="A407" t="s">
        <v>513</v>
      </c>
      <c r="B407" s="1">
        <v>46209</v>
      </c>
      <c r="C407" t="s">
        <v>228</v>
      </c>
      <c r="D407" t="s">
        <v>101</v>
      </c>
      <c r="E407" t="s">
        <v>36</v>
      </c>
      <c r="F407" t="s">
        <v>30</v>
      </c>
      <c r="G407" s="2">
        <v>46209.791666666657</v>
      </c>
      <c r="H407" s="2">
        <v>46210.291666666657</v>
      </c>
      <c r="I407">
        <v>12</v>
      </c>
      <c r="J407" t="s">
        <v>44</v>
      </c>
      <c r="K407" t="s">
        <v>102</v>
      </c>
    </row>
    <row r="408" spans="1:11" x14ac:dyDescent="0.2">
      <c r="A408" t="s">
        <v>514</v>
      </c>
      <c r="B408" s="1">
        <v>46209</v>
      </c>
      <c r="C408" t="s">
        <v>228</v>
      </c>
      <c r="D408" t="s">
        <v>101</v>
      </c>
      <c r="E408" t="s">
        <v>14</v>
      </c>
      <c r="F408" t="s">
        <v>23</v>
      </c>
      <c r="G408" s="2">
        <v>46209.291666666657</v>
      </c>
      <c r="H408" s="2">
        <v>46209.791666666657</v>
      </c>
      <c r="I408">
        <v>12</v>
      </c>
      <c r="J408" t="s">
        <v>51</v>
      </c>
      <c r="K408" t="s">
        <v>102</v>
      </c>
    </row>
    <row r="409" spans="1:11" x14ac:dyDescent="0.2">
      <c r="A409" t="s">
        <v>515</v>
      </c>
      <c r="B409" s="1">
        <v>46209</v>
      </c>
      <c r="C409" t="s">
        <v>228</v>
      </c>
      <c r="D409" t="s">
        <v>101</v>
      </c>
      <c r="E409" t="s">
        <v>14</v>
      </c>
      <c r="F409" t="s">
        <v>30</v>
      </c>
      <c r="G409" s="2">
        <v>46209.791666666657</v>
      </c>
      <c r="H409" s="2">
        <v>46210.291666666657</v>
      </c>
      <c r="I409">
        <v>12</v>
      </c>
      <c r="J409" t="s">
        <v>49</v>
      </c>
      <c r="K409" t="s">
        <v>102</v>
      </c>
    </row>
    <row r="410" spans="1:11" x14ac:dyDescent="0.2">
      <c r="A410" t="s">
        <v>516</v>
      </c>
      <c r="B410" s="1">
        <v>46209</v>
      </c>
      <c r="C410" t="s">
        <v>228</v>
      </c>
      <c r="D410" t="s">
        <v>101</v>
      </c>
      <c r="E410" t="s">
        <v>38</v>
      </c>
      <c r="F410" t="s">
        <v>23</v>
      </c>
      <c r="G410" s="2">
        <v>46209.291666666657</v>
      </c>
      <c r="H410" s="2">
        <v>46209.791666666657</v>
      </c>
      <c r="I410">
        <v>12</v>
      </c>
      <c r="J410" t="s">
        <v>59</v>
      </c>
      <c r="K410" t="s">
        <v>102</v>
      </c>
    </row>
    <row r="411" spans="1:11" x14ac:dyDescent="0.2">
      <c r="A411" t="s">
        <v>517</v>
      </c>
      <c r="B411" s="1">
        <v>46209</v>
      </c>
      <c r="C411" t="s">
        <v>228</v>
      </c>
      <c r="D411" t="s">
        <v>101</v>
      </c>
      <c r="E411" t="s">
        <v>38</v>
      </c>
      <c r="F411" t="s">
        <v>30</v>
      </c>
      <c r="G411" s="2">
        <v>46209.791666666657</v>
      </c>
      <c r="H411" s="2">
        <v>46210.291666666657</v>
      </c>
      <c r="I411">
        <v>12</v>
      </c>
      <c r="J411" t="s">
        <v>61</v>
      </c>
      <c r="K411" t="s">
        <v>102</v>
      </c>
    </row>
    <row r="412" spans="1:11" x14ac:dyDescent="0.2">
      <c r="A412" t="s">
        <v>518</v>
      </c>
      <c r="B412" s="1">
        <v>46209</v>
      </c>
      <c r="C412" t="s">
        <v>228</v>
      </c>
      <c r="D412" t="s">
        <v>101</v>
      </c>
      <c r="E412" t="s">
        <v>29</v>
      </c>
      <c r="F412" t="s">
        <v>23</v>
      </c>
      <c r="G412" s="2">
        <v>46209.291666666657</v>
      </c>
      <c r="H412" s="2">
        <v>46209.791666666657</v>
      </c>
      <c r="I412">
        <v>12</v>
      </c>
      <c r="J412" t="s">
        <v>62</v>
      </c>
      <c r="K412" t="s">
        <v>102</v>
      </c>
    </row>
    <row r="413" spans="1:11" x14ac:dyDescent="0.2">
      <c r="A413" t="s">
        <v>519</v>
      </c>
      <c r="B413" s="1">
        <v>46209</v>
      </c>
      <c r="C413" t="s">
        <v>228</v>
      </c>
      <c r="D413" t="s">
        <v>101</v>
      </c>
      <c r="E413" t="s">
        <v>29</v>
      </c>
      <c r="F413" t="s">
        <v>30</v>
      </c>
      <c r="G413" s="2">
        <v>46209.791666666657</v>
      </c>
      <c r="H413" s="2">
        <v>46210.291666666657</v>
      </c>
      <c r="I413">
        <v>12</v>
      </c>
      <c r="J413" t="s">
        <v>64</v>
      </c>
      <c r="K413" t="s">
        <v>102</v>
      </c>
    </row>
    <row r="414" spans="1:11" x14ac:dyDescent="0.2">
      <c r="A414" t="s">
        <v>520</v>
      </c>
      <c r="B414" s="1">
        <v>46209</v>
      </c>
      <c r="C414" t="s">
        <v>228</v>
      </c>
      <c r="D414" t="s">
        <v>101</v>
      </c>
      <c r="E414" t="s">
        <v>20</v>
      </c>
      <c r="F414" t="s">
        <v>23</v>
      </c>
      <c r="G414" s="2">
        <v>46209.291666666657</v>
      </c>
      <c r="H414" s="2">
        <v>46209.791666666657</v>
      </c>
      <c r="I414">
        <v>12</v>
      </c>
      <c r="J414" t="s">
        <v>67</v>
      </c>
      <c r="K414" t="s">
        <v>102</v>
      </c>
    </row>
    <row r="415" spans="1:11" x14ac:dyDescent="0.2">
      <c r="A415" t="s">
        <v>521</v>
      </c>
      <c r="B415" s="1">
        <v>46209</v>
      </c>
      <c r="C415" t="s">
        <v>228</v>
      </c>
      <c r="D415" t="s">
        <v>101</v>
      </c>
      <c r="E415" t="s">
        <v>20</v>
      </c>
      <c r="F415" t="s">
        <v>30</v>
      </c>
      <c r="G415" s="2">
        <v>46209.791666666657</v>
      </c>
      <c r="H415" s="2">
        <v>46210.291666666657</v>
      </c>
      <c r="I415">
        <v>12</v>
      </c>
      <c r="J415" t="s">
        <v>70</v>
      </c>
      <c r="K415" t="s">
        <v>102</v>
      </c>
    </row>
    <row r="416" spans="1:11" x14ac:dyDescent="0.2">
      <c r="A416" t="s">
        <v>522</v>
      </c>
      <c r="B416" s="1">
        <v>46209</v>
      </c>
      <c r="C416" t="s">
        <v>228</v>
      </c>
      <c r="D416" t="s">
        <v>101</v>
      </c>
      <c r="E416" t="s">
        <v>72</v>
      </c>
      <c r="F416" t="s">
        <v>23</v>
      </c>
      <c r="G416" s="2">
        <v>46209.291666666657</v>
      </c>
      <c r="H416" s="2">
        <v>46209.791666666657</v>
      </c>
      <c r="I416">
        <v>12</v>
      </c>
      <c r="J416" t="s">
        <v>76</v>
      </c>
      <c r="K416" t="s">
        <v>102</v>
      </c>
    </row>
    <row r="417" spans="1:11" x14ac:dyDescent="0.2">
      <c r="A417" t="s">
        <v>523</v>
      </c>
      <c r="B417" s="1">
        <v>46209</v>
      </c>
      <c r="C417" t="s">
        <v>228</v>
      </c>
      <c r="D417" t="s">
        <v>101</v>
      </c>
      <c r="E417" t="s">
        <v>72</v>
      </c>
      <c r="F417" t="s">
        <v>30</v>
      </c>
      <c r="G417" s="2">
        <v>46209.791666666657</v>
      </c>
      <c r="H417" s="2">
        <v>46210.291666666657</v>
      </c>
      <c r="I417">
        <v>12</v>
      </c>
      <c r="J417" t="s">
        <v>75</v>
      </c>
      <c r="K417" t="s">
        <v>102</v>
      </c>
    </row>
    <row r="418" spans="1:11" x14ac:dyDescent="0.2">
      <c r="A418" t="s">
        <v>524</v>
      </c>
      <c r="B418" s="1">
        <v>46209</v>
      </c>
      <c r="C418" t="s">
        <v>228</v>
      </c>
      <c r="D418" t="s">
        <v>101</v>
      </c>
      <c r="E418" t="s">
        <v>56</v>
      </c>
      <c r="F418" t="s">
        <v>23</v>
      </c>
      <c r="G418" s="2">
        <v>46209.291666666657</v>
      </c>
      <c r="H418" s="2">
        <v>46209.791666666657</v>
      </c>
      <c r="I418">
        <v>12</v>
      </c>
      <c r="J418" t="s">
        <v>83</v>
      </c>
      <c r="K418" t="s">
        <v>102</v>
      </c>
    </row>
    <row r="419" spans="1:11" x14ac:dyDescent="0.2">
      <c r="A419" t="s">
        <v>525</v>
      </c>
      <c r="B419" s="1">
        <v>46209</v>
      </c>
      <c r="C419" t="s">
        <v>228</v>
      </c>
      <c r="D419" t="s">
        <v>101</v>
      </c>
      <c r="E419" t="s">
        <v>56</v>
      </c>
      <c r="F419" t="s">
        <v>30</v>
      </c>
      <c r="G419" s="2">
        <v>46209.791666666657</v>
      </c>
      <c r="H419" s="2">
        <v>46210.291666666657</v>
      </c>
      <c r="I419">
        <v>12</v>
      </c>
      <c r="J419" t="s">
        <v>82</v>
      </c>
      <c r="K419" t="s">
        <v>102</v>
      </c>
    </row>
    <row r="420" spans="1:11" x14ac:dyDescent="0.2">
      <c r="A420" t="s">
        <v>526</v>
      </c>
      <c r="B420" s="1">
        <v>46209</v>
      </c>
      <c r="C420" t="s">
        <v>228</v>
      </c>
      <c r="D420" t="s">
        <v>101</v>
      </c>
      <c r="E420" t="s">
        <v>50</v>
      </c>
      <c r="F420" t="s">
        <v>23</v>
      </c>
      <c r="G420" s="2">
        <v>46209.291666666657</v>
      </c>
      <c r="H420" s="2">
        <v>46209.791666666657</v>
      </c>
      <c r="I420">
        <v>12</v>
      </c>
      <c r="J420" t="s">
        <v>84</v>
      </c>
      <c r="K420" t="s">
        <v>102</v>
      </c>
    </row>
    <row r="421" spans="1:11" x14ac:dyDescent="0.2">
      <c r="A421" t="s">
        <v>527</v>
      </c>
      <c r="B421" s="1">
        <v>46209</v>
      </c>
      <c r="C421" t="s">
        <v>228</v>
      </c>
      <c r="D421" t="s">
        <v>101</v>
      </c>
      <c r="E421" t="s">
        <v>50</v>
      </c>
      <c r="F421" t="s">
        <v>30</v>
      </c>
      <c r="G421" s="2">
        <v>46209.791666666657</v>
      </c>
      <c r="H421" s="2">
        <v>46210.291666666657</v>
      </c>
      <c r="I421">
        <v>12</v>
      </c>
      <c r="J421" t="s">
        <v>85</v>
      </c>
      <c r="K421" t="s">
        <v>102</v>
      </c>
    </row>
    <row r="422" spans="1:11" x14ac:dyDescent="0.2">
      <c r="A422" t="s">
        <v>528</v>
      </c>
      <c r="B422" s="1">
        <v>46210</v>
      </c>
      <c r="C422" t="s">
        <v>100</v>
      </c>
      <c r="D422" t="s">
        <v>101</v>
      </c>
      <c r="E422" t="s">
        <v>32</v>
      </c>
      <c r="F422" t="s">
        <v>23</v>
      </c>
      <c r="G422" s="2">
        <v>46210.291666666657</v>
      </c>
      <c r="H422" s="2">
        <v>46210.791666666657</v>
      </c>
      <c r="I422">
        <v>12</v>
      </c>
      <c r="J422" t="s">
        <v>19</v>
      </c>
      <c r="K422" t="s">
        <v>102</v>
      </c>
    </row>
    <row r="423" spans="1:11" x14ac:dyDescent="0.2">
      <c r="A423" t="s">
        <v>529</v>
      </c>
      <c r="B423" s="1">
        <v>46210</v>
      </c>
      <c r="C423" t="s">
        <v>100</v>
      </c>
      <c r="D423" t="s">
        <v>101</v>
      </c>
      <c r="E423" t="s">
        <v>32</v>
      </c>
      <c r="F423" t="s">
        <v>30</v>
      </c>
      <c r="G423" s="2">
        <v>46210.791666666657</v>
      </c>
      <c r="H423" s="2">
        <v>46211.291666666657</v>
      </c>
      <c r="I423">
        <v>12</v>
      </c>
      <c r="J423" t="s">
        <v>13</v>
      </c>
      <c r="K423" t="s">
        <v>102</v>
      </c>
    </row>
    <row r="424" spans="1:11" x14ac:dyDescent="0.2">
      <c r="A424" t="s">
        <v>530</v>
      </c>
      <c r="B424" s="1">
        <v>46210</v>
      </c>
      <c r="C424" t="s">
        <v>100</v>
      </c>
      <c r="D424" t="s">
        <v>101</v>
      </c>
      <c r="E424" t="s">
        <v>48</v>
      </c>
      <c r="F424" t="s">
        <v>23</v>
      </c>
      <c r="G424" s="2">
        <v>46210.291666666657</v>
      </c>
      <c r="H424" s="2">
        <v>46210.791666666657</v>
      </c>
      <c r="I424">
        <v>12</v>
      </c>
      <c r="J424" t="s">
        <v>37</v>
      </c>
      <c r="K424" t="s">
        <v>102</v>
      </c>
    </row>
    <row r="425" spans="1:11" x14ac:dyDescent="0.2">
      <c r="A425" t="s">
        <v>531</v>
      </c>
      <c r="B425" s="1">
        <v>46210</v>
      </c>
      <c r="C425" t="s">
        <v>100</v>
      </c>
      <c r="D425" t="s">
        <v>101</v>
      </c>
      <c r="E425" t="s">
        <v>48</v>
      </c>
      <c r="F425" t="s">
        <v>30</v>
      </c>
      <c r="G425" s="2">
        <v>46210.791666666657</v>
      </c>
      <c r="H425" s="2">
        <v>46211.291666666657</v>
      </c>
      <c r="I425">
        <v>12</v>
      </c>
      <c r="J425" t="s">
        <v>35</v>
      </c>
      <c r="K425" t="s">
        <v>102</v>
      </c>
    </row>
    <row r="426" spans="1:11" x14ac:dyDescent="0.2">
      <c r="A426" t="s">
        <v>532</v>
      </c>
      <c r="B426" s="1">
        <v>46210</v>
      </c>
      <c r="C426" t="s">
        <v>100</v>
      </c>
      <c r="D426" t="s">
        <v>101</v>
      </c>
      <c r="E426" t="s">
        <v>36</v>
      </c>
      <c r="F426" t="s">
        <v>23</v>
      </c>
      <c r="G426" s="2">
        <v>46210.291666666657</v>
      </c>
      <c r="H426" s="2">
        <v>46210.791666666657</v>
      </c>
      <c r="I426">
        <v>12</v>
      </c>
      <c r="J426" t="s">
        <v>45</v>
      </c>
      <c r="K426" t="s">
        <v>102</v>
      </c>
    </row>
    <row r="427" spans="1:11" x14ac:dyDescent="0.2">
      <c r="A427" t="s">
        <v>533</v>
      </c>
      <c r="B427" s="1">
        <v>46210</v>
      </c>
      <c r="C427" t="s">
        <v>100</v>
      </c>
      <c r="D427" t="s">
        <v>101</v>
      </c>
      <c r="E427" t="s">
        <v>36</v>
      </c>
      <c r="F427" t="s">
        <v>30</v>
      </c>
      <c r="G427" s="2">
        <v>46210.791666666657</v>
      </c>
      <c r="H427" s="2">
        <v>46211.291666666657</v>
      </c>
      <c r="I427">
        <v>12</v>
      </c>
      <c r="J427" t="s">
        <v>44</v>
      </c>
      <c r="K427" t="s">
        <v>102</v>
      </c>
    </row>
    <row r="428" spans="1:11" x14ac:dyDescent="0.2">
      <c r="A428" t="s">
        <v>534</v>
      </c>
      <c r="B428" s="1">
        <v>46210</v>
      </c>
      <c r="C428" t="s">
        <v>100</v>
      </c>
      <c r="D428" t="s">
        <v>101</v>
      </c>
      <c r="E428" t="s">
        <v>14</v>
      </c>
      <c r="F428" t="s">
        <v>23</v>
      </c>
      <c r="G428" s="2">
        <v>46210.291666666657</v>
      </c>
      <c r="H428" s="2">
        <v>46210.791666666657</v>
      </c>
      <c r="I428">
        <v>12</v>
      </c>
      <c r="J428" t="s">
        <v>49</v>
      </c>
      <c r="K428" t="s">
        <v>102</v>
      </c>
    </row>
    <row r="429" spans="1:11" x14ac:dyDescent="0.2">
      <c r="A429" t="s">
        <v>535</v>
      </c>
      <c r="B429" s="1">
        <v>46210</v>
      </c>
      <c r="C429" t="s">
        <v>100</v>
      </c>
      <c r="D429" t="s">
        <v>101</v>
      </c>
      <c r="E429" t="s">
        <v>14</v>
      </c>
      <c r="F429" t="s">
        <v>30</v>
      </c>
      <c r="G429" s="2">
        <v>46210.791666666657</v>
      </c>
      <c r="H429" s="2">
        <v>46211.291666666657</v>
      </c>
      <c r="I429">
        <v>12</v>
      </c>
      <c r="J429" t="s">
        <v>53</v>
      </c>
      <c r="K429" t="s">
        <v>102</v>
      </c>
    </row>
    <row r="430" spans="1:11" x14ac:dyDescent="0.2">
      <c r="A430" t="s">
        <v>536</v>
      </c>
      <c r="B430" s="1">
        <v>46210</v>
      </c>
      <c r="C430" t="s">
        <v>100</v>
      </c>
      <c r="D430" t="s">
        <v>101</v>
      </c>
      <c r="E430" t="s">
        <v>38</v>
      </c>
      <c r="F430" t="s">
        <v>23</v>
      </c>
      <c r="G430" s="2">
        <v>46210.291666666657</v>
      </c>
      <c r="H430" s="2">
        <v>46210.791666666657</v>
      </c>
      <c r="I430">
        <v>12</v>
      </c>
      <c r="J430" t="s">
        <v>61</v>
      </c>
      <c r="K430" t="s">
        <v>102</v>
      </c>
    </row>
    <row r="431" spans="1:11" x14ac:dyDescent="0.2">
      <c r="A431" t="s">
        <v>537</v>
      </c>
      <c r="B431" s="1">
        <v>46210</v>
      </c>
      <c r="C431" t="s">
        <v>100</v>
      </c>
      <c r="D431" t="s">
        <v>101</v>
      </c>
      <c r="E431" t="s">
        <v>38</v>
      </c>
      <c r="F431" t="s">
        <v>30</v>
      </c>
      <c r="G431" s="2">
        <v>46210.791666666657</v>
      </c>
      <c r="H431" s="2">
        <v>46211.291666666657</v>
      </c>
      <c r="I431">
        <v>12</v>
      </c>
      <c r="J431" t="s">
        <v>58</v>
      </c>
      <c r="K431" t="s">
        <v>102</v>
      </c>
    </row>
    <row r="432" spans="1:11" x14ac:dyDescent="0.2">
      <c r="A432" t="s">
        <v>538</v>
      </c>
      <c r="B432" s="1">
        <v>46210</v>
      </c>
      <c r="C432" t="s">
        <v>100</v>
      </c>
      <c r="D432" t="s">
        <v>101</v>
      </c>
      <c r="E432" t="s">
        <v>29</v>
      </c>
      <c r="F432" t="s">
        <v>23</v>
      </c>
      <c r="G432" s="2">
        <v>46210.291666666657</v>
      </c>
      <c r="H432" s="2">
        <v>46210.791666666657</v>
      </c>
      <c r="I432">
        <v>12</v>
      </c>
      <c r="J432" t="s">
        <v>64</v>
      </c>
      <c r="K432" t="s">
        <v>102</v>
      </c>
    </row>
    <row r="433" spans="1:11" x14ac:dyDescent="0.2">
      <c r="A433" t="s">
        <v>539</v>
      </c>
      <c r="B433" s="1">
        <v>46210</v>
      </c>
      <c r="C433" t="s">
        <v>100</v>
      </c>
      <c r="D433" t="s">
        <v>101</v>
      </c>
      <c r="E433" t="s">
        <v>29</v>
      </c>
      <c r="F433" t="s">
        <v>30</v>
      </c>
      <c r="G433" s="2">
        <v>46210.791666666657</v>
      </c>
      <c r="H433" s="2">
        <v>46211.291666666657</v>
      </c>
      <c r="I433">
        <v>12</v>
      </c>
      <c r="J433" t="s">
        <v>62</v>
      </c>
      <c r="K433" t="s">
        <v>102</v>
      </c>
    </row>
    <row r="434" spans="1:11" x14ac:dyDescent="0.2">
      <c r="A434" t="s">
        <v>540</v>
      </c>
      <c r="B434" s="1">
        <v>46210</v>
      </c>
      <c r="C434" t="s">
        <v>100</v>
      </c>
      <c r="D434" t="s">
        <v>101</v>
      </c>
      <c r="E434" t="s">
        <v>20</v>
      </c>
      <c r="F434" t="s">
        <v>23</v>
      </c>
      <c r="G434" s="2">
        <v>46210.291666666657</v>
      </c>
      <c r="H434" s="2">
        <v>46210.791666666657</v>
      </c>
      <c r="I434">
        <v>12</v>
      </c>
      <c r="J434" t="s">
        <v>71</v>
      </c>
      <c r="K434" t="s">
        <v>102</v>
      </c>
    </row>
    <row r="435" spans="1:11" x14ac:dyDescent="0.2">
      <c r="A435" t="s">
        <v>541</v>
      </c>
      <c r="B435" s="1">
        <v>46210</v>
      </c>
      <c r="C435" t="s">
        <v>100</v>
      </c>
      <c r="D435" t="s">
        <v>101</v>
      </c>
      <c r="E435" t="s">
        <v>20</v>
      </c>
      <c r="F435" t="s">
        <v>30</v>
      </c>
      <c r="G435" s="2">
        <v>46210.791666666657</v>
      </c>
      <c r="H435" s="2">
        <v>46211.291666666657</v>
      </c>
      <c r="I435">
        <v>12</v>
      </c>
      <c r="J435" t="s">
        <v>69</v>
      </c>
      <c r="K435" t="s">
        <v>102</v>
      </c>
    </row>
    <row r="436" spans="1:11" x14ac:dyDescent="0.2">
      <c r="A436" t="s">
        <v>542</v>
      </c>
      <c r="B436" s="1">
        <v>46210</v>
      </c>
      <c r="C436" t="s">
        <v>100</v>
      </c>
      <c r="D436" t="s">
        <v>101</v>
      </c>
      <c r="E436" t="s">
        <v>72</v>
      </c>
      <c r="F436" t="s">
        <v>23</v>
      </c>
      <c r="G436" s="2">
        <v>46210.291666666657</v>
      </c>
      <c r="H436" s="2">
        <v>46210.791666666657</v>
      </c>
      <c r="I436">
        <v>12</v>
      </c>
      <c r="J436" t="s">
        <v>78</v>
      </c>
      <c r="K436" t="s">
        <v>102</v>
      </c>
    </row>
    <row r="437" spans="1:11" x14ac:dyDescent="0.2">
      <c r="A437" t="s">
        <v>543</v>
      </c>
      <c r="B437" s="1">
        <v>46210</v>
      </c>
      <c r="C437" t="s">
        <v>100</v>
      </c>
      <c r="D437" t="s">
        <v>101</v>
      </c>
      <c r="E437" t="s">
        <v>72</v>
      </c>
      <c r="F437" t="s">
        <v>30</v>
      </c>
      <c r="G437" s="2">
        <v>46210.791666666657</v>
      </c>
      <c r="H437" s="2">
        <v>46211.291666666657</v>
      </c>
      <c r="I437">
        <v>12</v>
      </c>
      <c r="J437" t="s">
        <v>75</v>
      </c>
      <c r="K437" t="s">
        <v>102</v>
      </c>
    </row>
    <row r="438" spans="1:11" x14ac:dyDescent="0.2">
      <c r="A438" t="s">
        <v>544</v>
      </c>
      <c r="B438" s="1">
        <v>46210</v>
      </c>
      <c r="C438" t="s">
        <v>100</v>
      </c>
      <c r="D438" t="s">
        <v>101</v>
      </c>
      <c r="E438" t="s">
        <v>56</v>
      </c>
      <c r="F438" t="s">
        <v>23</v>
      </c>
      <c r="G438" s="2">
        <v>46210.291666666657</v>
      </c>
      <c r="H438" s="2">
        <v>46210.791666666657</v>
      </c>
      <c r="I438">
        <v>12</v>
      </c>
      <c r="J438" t="s">
        <v>80</v>
      </c>
      <c r="K438" t="s">
        <v>102</v>
      </c>
    </row>
    <row r="439" spans="1:11" x14ac:dyDescent="0.2">
      <c r="A439" t="s">
        <v>545</v>
      </c>
      <c r="B439" s="1">
        <v>46210</v>
      </c>
      <c r="C439" t="s">
        <v>100</v>
      </c>
      <c r="D439" t="s">
        <v>101</v>
      </c>
      <c r="E439" t="s">
        <v>56</v>
      </c>
      <c r="F439" t="s">
        <v>30</v>
      </c>
      <c r="G439" s="2">
        <v>46210.791666666657</v>
      </c>
      <c r="H439" s="2">
        <v>46211.291666666657</v>
      </c>
      <c r="I439">
        <v>12</v>
      </c>
      <c r="J439" t="s">
        <v>79</v>
      </c>
      <c r="K439" t="s">
        <v>102</v>
      </c>
    </row>
    <row r="440" spans="1:11" x14ac:dyDescent="0.2">
      <c r="A440" t="s">
        <v>546</v>
      </c>
      <c r="B440" s="1">
        <v>46210</v>
      </c>
      <c r="C440" t="s">
        <v>100</v>
      </c>
      <c r="D440" t="s">
        <v>101</v>
      </c>
      <c r="E440" t="s">
        <v>50</v>
      </c>
      <c r="F440" t="s">
        <v>23</v>
      </c>
      <c r="G440" s="2">
        <v>46210.291666666657</v>
      </c>
      <c r="H440" s="2">
        <v>46210.791666666657</v>
      </c>
      <c r="I440">
        <v>12</v>
      </c>
      <c r="J440" t="s">
        <v>88</v>
      </c>
      <c r="K440" t="s">
        <v>102</v>
      </c>
    </row>
    <row r="441" spans="1:11" x14ac:dyDescent="0.2">
      <c r="A441" t="s">
        <v>547</v>
      </c>
      <c r="B441" s="1">
        <v>46210</v>
      </c>
      <c r="C441" t="s">
        <v>100</v>
      </c>
      <c r="D441" t="s">
        <v>101</v>
      </c>
      <c r="E441" t="s">
        <v>50</v>
      </c>
      <c r="F441" t="s">
        <v>30</v>
      </c>
      <c r="G441" s="2">
        <v>46210.791666666657</v>
      </c>
      <c r="H441" s="2">
        <v>46211.291666666657</v>
      </c>
      <c r="I441">
        <v>12</v>
      </c>
      <c r="J441" t="s">
        <v>85</v>
      </c>
      <c r="K441" t="s">
        <v>102</v>
      </c>
    </row>
    <row r="442" spans="1:11" x14ac:dyDescent="0.2">
      <c r="A442" t="s">
        <v>548</v>
      </c>
      <c r="B442" s="1">
        <v>46211</v>
      </c>
      <c r="C442" t="s">
        <v>123</v>
      </c>
      <c r="D442" t="s">
        <v>101</v>
      </c>
      <c r="E442" t="s">
        <v>32</v>
      </c>
      <c r="F442" t="s">
        <v>23</v>
      </c>
      <c r="G442" s="2">
        <v>46211.291666666657</v>
      </c>
      <c r="H442" s="2">
        <v>46211.791666666657</v>
      </c>
      <c r="I442">
        <v>12</v>
      </c>
      <c r="J442" t="s">
        <v>13</v>
      </c>
      <c r="K442" t="s">
        <v>102</v>
      </c>
    </row>
    <row r="443" spans="1:11" x14ac:dyDescent="0.2">
      <c r="A443" t="s">
        <v>549</v>
      </c>
      <c r="B443" s="1">
        <v>46211</v>
      </c>
      <c r="C443" t="s">
        <v>123</v>
      </c>
      <c r="D443" t="s">
        <v>101</v>
      </c>
      <c r="E443" t="s">
        <v>32</v>
      </c>
      <c r="F443" t="s">
        <v>30</v>
      </c>
      <c r="G443" s="2">
        <v>46211.791666666657</v>
      </c>
      <c r="H443" s="2">
        <v>46212.291666666657</v>
      </c>
      <c r="I443">
        <v>12</v>
      </c>
      <c r="J443" t="s">
        <v>19</v>
      </c>
      <c r="K443" t="s">
        <v>102</v>
      </c>
    </row>
    <row r="444" spans="1:11" x14ac:dyDescent="0.2">
      <c r="A444" t="s">
        <v>550</v>
      </c>
      <c r="B444" s="1">
        <v>46211</v>
      </c>
      <c r="C444" t="s">
        <v>123</v>
      </c>
      <c r="D444" t="s">
        <v>101</v>
      </c>
      <c r="E444" t="s">
        <v>48</v>
      </c>
      <c r="F444" t="s">
        <v>23</v>
      </c>
      <c r="G444" s="2">
        <v>46211.291666666657</v>
      </c>
      <c r="H444" s="2">
        <v>46211.791666666657</v>
      </c>
      <c r="I444">
        <v>12</v>
      </c>
      <c r="J444" t="s">
        <v>35</v>
      </c>
      <c r="K444" t="s">
        <v>102</v>
      </c>
    </row>
    <row r="445" spans="1:11" x14ac:dyDescent="0.2">
      <c r="A445" t="s">
        <v>551</v>
      </c>
      <c r="B445" s="1">
        <v>46211</v>
      </c>
      <c r="C445" t="s">
        <v>123</v>
      </c>
      <c r="D445" t="s">
        <v>101</v>
      </c>
      <c r="E445" t="s">
        <v>48</v>
      </c>
      <c r="F445" t="s">
        <v>30</v>
      </c>
      <c r="G445" s="2">
        <v>46211.791666666657</v>
      </c>
      <c r="H445" s="2">
        <v>46212.291666666657</v>
      </c>
      <c r="I445">
        <v>12</v>
      </c>
      <c r="J445" t="s">
        <v>41</v>
      </c>
      <c r="K445" t="s">
        <v>102</v>
      </c>
    </row>
    <row r="446" spans="1:11" x14ac:dyDescent="0.2">
      <c r="A446" t="s">
        <v>552</v>
      </c>
      <c r="B446" s="1">
        <v>46211</v>
      </c>
      <c r="C446" t="s">
        <v>123</v>
      </c>
      <c r="D446" t="s">
        <v>101</v>
      </c>
      <c r="E446" t="s">
        <v>36</v>
      </c>
      <c r="F446" t="s">
        <v>23</v>
      </c>
      <c r="G446" s="2">
        <v>46211.291666666657</v>
      </c>
      <c r="H446" s="2">
        <v>46211.791666666657</v>
      </c>
      <c r="I446">
        <v>12</v>
      </c>
      <c r="J446" t="s">
        <v>43</v>
      </c>
      <c r="K446" t="s">
        <v>102</v>
      </c>
    </row>
    <row r="447" spans="1:11" x14ac:dyDescent="0.2">
      <c r="A447" t="s">
        <v>553</v>
      </c>
      <c r="B447" s="1">
        <v>46211</v>
      </c>
      <c r="C447" t="s">
        <v>123</v>
      </c>
      <c r="D447" t="s">
        <v>101</v>
      </c>
      <c r="E447" t="s">
        <v>36</v>
      </c>
      <c r="F447" t="s">
        <v>30</v>
      </c>
      <c r="G447" s="2">
        <v>46211.791666666657</v>
      </c>
      <c r="H447" s="2">
        <v>46212.291666666657</v>
      </c>
      <c r="I447">
        <v>12</v>
      </c>
      <c r="J447" t="s">
        <v>47</v>
      </c>
      <c r="K447" t="s">
        <v>102</v>
      </c>
    </row>
    <row r="448" spans="1:11" x14ac:dyDescent="0.2">
      <c r="A448" t="s">
        <v>554</v>
      </c>
      <c r="B448" s="1">
        <v>46211</v>
      </c>
      <c r="C448" t="s">
        <v>123</v>
      </c>
      <c r="D448" t="s">
        <v>101</v>
      </c>
      <c r="E448" t="s">
        <v>14</v>
      </c>
      <c r="F448" t="s">
        <v>23</v>
      </c>
      <c r="G448" s="2">
        <v>46211.291666666657</v>
      </c>
      <c r="H448" s="2">
        <v>46211.791666666657</v>
      </c>
      <c r="I448">
        <v>12</v>
      </c>
      <c r="J448" t="s">
        <v>49</v>
      </c>
      <c r="K448" t="s">
        <v>102</v>
      </c>
    </row>
    <row r="449" spans="1:11" x14ac:dyDescent="0.2">
      <c r="A449" t="s">
        <v>555</v>
      </c>
      <c r="B449" s="1">
        <v>46211</v>
      </c>
      <c r="C449" t="s">
        <v>123</v>
      </c>
      <c r="D449" t="s">
        <v>101</v>
      </c>
      <c r="E449" t="s">
        <v>14</v>
      </c>
      <c r="F449" t="s">
        <v>30</v>
      </c>
      <c r="G449" s="2">
        <v>46211.791666666657</v>
      </c>
      <c r="H449" s="2">
        <v>46212.291666666657</v>
      </c>
      <c r="I449">
        <v>12</v>
      </c>
      <c r="J449" t="s">
        <v>52</v>
      </c>
      <c r="K449" t="s">
        <v>102</v>
      </c>
    </row>
    <row r="450" spans="1:11" x14ac:dyDescent="0.2">
      <c r="A450" t="s">
        <v>556</v>
      </c>
      <c r="B450" s="1">
        <v>46211</v>
      </c>
      <c r="C450" t="s">
        <v>123</v>
      </c>
      <c r="D450" t="s">
        <v>101</v>
      </c>
      <c r="E450" t="s">
        <v>38</v>
      </c>
      <c r="F450" t="s">
        <v>23</v>
      </c>
      <c r="G450" s="2">
        <v>46211.291666666657</v>
      </c>
      <c r="H450" s="2">
        <v>46211.791666666657</v>
      </c>
      <c r="I450">
        <v>12</v>
      </c>
      <c r="J450" t="s">
        <v>55</v>
      </c>
      <c r="K450" t="s">
        <v>102</v>
      </c>
    </row>
    <row r="451" spans="1:11" x14ac:dyDescent="0.2">
      <c r="A451" t="s">
        <v>557</v>
      </c>
      <c r="B451" s="1">
        <v>46211</v>
      </c>
      <c r="C451" t="s">
        <v>123</v>
      </c>
      <c r="D451" t="s">
        <v>101</v>
      </c>
      <c r="E451" t="s">
        <v>38</v>
      </c>
      <c r="F451" t="s">
        <v>30</v>
      </c>
      <c r="G451" s="2">
        <v>46211.791666666657</v>
      </c>
      <c r="H451" s="2">
        <v>46212.291666666657</v>
      </c>
      <c r="I451">
        <v>12</v>
      </c>
      <c r="J451" t="s">
        <v>61</v>
      </c>
      <c r="K451" t="s">
        <v>102</v>
      </c>
    </row>
    <row r="452" spans="1:11" x14ac:dyDescent="0.2">
      <c r="A452" t="s">
        <v>558</v>
      </c>
      <c r="B452" s="1">
        <v>46211</v>
      </c>
      <c r="C452" t="s">
        <v>123</v>
      </c>
      <c r="D452" t="s">
        <v>101</v>
      </c>
      <c r="E452" t="s">
        <v>29</v>
      </c>
      <c r="F452" t="s">
        <v>23</v>
      </c>
      <c r="G452" s="2">
        <v>46211.291666666657</v>
      </c>
      <c r="H452" s="2">
        <v>46211.791666666657</v>
      </c>
      <c r="I452">
        <v>12</v>
      </c>
      <c r="J452" t="s">
        <v>66</v>
      </c>
      <c r="K452" t="s">
        <v>102</v>
      </c>
    </row>
    <row r="453" spans="1:11" x14ac:dyDescent="0.2">
      <c r="A453" t="s">
        <v>559</v>
      </c>
      <c r="B453" s="1">
        <v>46211</v>
      </c>
      <c r="C453" t="s">
        <v>123</v>
      </c>
      <c r="D453" t="s">
        <v>101</v>
      </c>
      <c r="E453" t="s">
        <v>29</v>
      </c>
      <c r="F453" t="s">
        <v>30</v>
      </c>
      <c r="G453" s="2">
        <v>46211.791666666657</v>
      </c>
      <c r="H453" s="2">
        <v>46212.291666666657</v>
      </c>
      <c r="I453">
        <v>12</v>
      </c>
      <c r="J453" t="s">
        <v>64</v>
      </c>
      <c r="K453" t="s">
        <v>102</v>
      </c>
    </row>
    <row r="454" spans="1:11" x14ac:dyDescent="0.2">
      <c r="A454" t="s">
        <v>560</v>
      </c>
      <c r="B454" s="1">
        <v>46211</v>
      </c>
      <c r="C454" t="s">
        <v>123</v>
      </c>
      <c r="D454" t="s">
        <v>101</v>
      </c>
      <c r="E454" t="s">
        <v>20</v>
      </c>
      <c r="F454" t="s">
        <v>23</v>
      </c>
      <c r="G454" s="2">
        <v>46211.291666666657</v>
      </c>
      <c r="H454" s="2">
        <v>46211.791666666657</v>
      </c>
      <c r="I454">
        <v>12</v>
      </c>
      <c r="J454" t="s">
        <v>67</v>
      </c>
      <c r="K454" t="s">
        <v>102</v>
      </c>
    </row>
    <row r="455" spans="1:11" x14ac:dyDescent="0.2">
      <c r="A455" t="s">
        <v>561</v>
      </c>
      <c r="B455" s="1">
        <v>46211</v>
      </c>
      <c r="C455" t="s">
        <v>123</v>
      </c>
      <c r="D455" t="s">
        <v>101</v>
      </c>
      <c r="E455" t="s">
        <v>20</v>
      </c>
      <c r="F455" t="s">
        <v>30</v>
      </c>
      <c r="G455" s="2">
        <v>46211.791666666657</v>
      </c>
      <c r="H455" s="2">
        <v>46212.291666666657</v>
      </c>
      <c r="I455">
        <v>12</v>
      </c>
      <c r="J455" t="s">
        <v>71</v>
      </c>
      <c r="K455" t="s">
        <v>102</v>
      </c>
    </row>
    <row r="456" spans="1:11" x14ac:dyDescent="0.2">
      <c r="A456" t="s">
        <v>562</v>
      </c>
      <c r="B456" s="1">
        <v>46211</v>
      </c>
      <c r="C456" t="s">
        <v>123</v>
      </c>
      <c r="D456" t="s">
        <v>101</v>
      </c>
      <c r="E456" t="s">
        <v>72</v>
      </c>
      <c r="F456" t="s">
        <v>23</v>
      </c>
      <c r="G456" s="2">
        <v>46211.291666666657</v>
      </c>
      <c r="H456" s="2">
        <v>46211.791666666657</v>
      </c>
      <c r="I456">
        <v>12</v>
      </c>
      <c r="J456" t="s">
        <v>78</v>
      </c>
      <c r="K456" t="s">
        <v>102</v>
      </c>
    </row>
    <row r="457" spans="1:11" x14ac:dyDescent="0.2">
      <c r="A457" t="s">
        <v>563</v>
      </c>
      <c r="B457" s="1">
        <v>46211</v>
      </c>
      <c r="C457" t="s">
        <v>123</v>
      </c>
      <c r="D457" t="s">
        <v>101</v>
      </c>
      <c r="E457" t="s">
        <v>72</v>
      </c>
      <c r="F457" t="s">
        <v>30</v>
      </c>
      <c r="G457" s="2">
        <v>46211.791666666657</v>
      </c>
      <c r="H457" s="2">
        <v>46212.291666666657</v>
      </c>
      <c r="I457">
        <v>12</v>
      </c>
      <c r="J457" t="s">
        <v>76</v>
      </c>
      <c r="K457" t="s">
        <v>102</v>
      </c>
    </row>
    <row r="458" spans="1:11" x14ac:dyDescent="0.2">
      <c r="A458" t="s">
        <v>564</v>
      </c>
      <c r="B458" s="1">
        <v>46211</v>
      </c>
      <c r="C458" t="s">
        <v>123</v>
      </c>
      <c r="D458" t="s">
        <v>101</v>
      </c>
      <c r="E458" t="s">
        <v>56</v>
      </c>
      <c r="F458" t="s">
        <v>23</v>
      </c>
      <c r="G458" s="2">
        <v>46211.291666666657</v>
      </c>
      <c r="H458" s="2">
        <v>46211.791666666657</v>
      </c>
      <c r="I458">
        <v>12</v>
      </c>
      <c r="J458" t="s">
        <v>81</v>
      </c>
      <c r="K458" t="s">
        <v>102</v>
      </c>
    </row>
    <row r="459" spans="1:11" x14ac:dyDescent="0.2">
      <c r="A459" t="s">
        <v>565</v>
      </c>
      <c r="B459" s="1">
        <v>46211</v>
      </c>
      <c r="C459" t="s">
        <v>123</v>
      </c>
      <c r="D459" t="s">
        <v>101</v>
      </c>
      <c r="E459" t="s">
        <v>56</v>
      </c>
      <c r="F459" t="s">
        <v>30</v>
      </c>
      <c r="G459" s="2">
        <v>46211.791666666657</v>
      </c>
      <c r="H459" s="2">
        <v>46212.291666666657</v>
      </c>
      <c r="I459">
        <v>12</v>
      </c>
      <c r="J459" t="s">
        <v>80</v>
      </c>
      <c r="K459" t="s">
        <v>102</v>
      </c>
    </row>
    <row r="460" spans="1:11" x14ac:dyDescent="0.2">
      <c r="A460" t="s">
        <v>566</v>
      </c>
      <c r="B460" s="1">
        <v>46211</v>
      </c>
      <c r="C460" t="s">
        <v>123</v>
      </c>
      <c r="D460" t="s">
        <v>101</v>
      </c>
      <c r="E460" t="s">
        <v>50</v>
      </c>
      <c r="F460" t="s">
        <v>23</v>
      </c>
      <c r="G460" s="2">
        <v>46211.291666666657</v>
      </c>
      <c r="H460" s="2">
        <v>46211.791666666657</v>
      </c>
      <c r="I460">
        <v>12</v>
      </c>
      <c r="J460" t="s">
        <v>84</v>
      </c>
      <c r="K460" t="s">
        <v>102</v>
      </c>
    </row>
    <row r="461" spans="1:11" x14ac:dyDescent="0.2">
      <c r="A461" t="s">
        <v>567</v>
      </c>
      <c r="B461" s="1">
        <v>46211</v>
      </c>
      <c r="C461" t="s">
        <v>123</v>
      </c>
      <c r="D461" t="s">
        <v>101</v>
      </c>
      <c r="E461" t="s">
        <v>50</v>
      </c>
      <c r="F461" t="s">
        <v>30</v>
      </c>
      <c r="G461" s="2">
        <v>46211.791666666657</v>
      </c>
      <c r="H461" s="2">
        <v>46212.291666666657</v>
      </c>
      <c r="I461">
        <v>12</v>
      </c>
      <c r="J461" t="s">
        <v>87</v>
      </c>
      <c r="K461" t="s">
        <v>102</v>
      </c>
    </row>
    <row r="462" spans="1:11" x14ac:dyDescent="0.2">
      <c r="A462" t="s">
        <v>568</v>
      </c>
      <c r="B462" s="1">
        <v>46212</v>
      </c>
      <c r="C462" t="s">
        <v>144</v>
      </c>
      <c r="D462" t="s">
        <v>101</v>
      </c>
      <c r="E462" t="s">
        <v>32</v>
      </c>
      <c r="F462" t="s">
        <v>23</v>
      </c>
      <c r="G462" s="2">
        <v>46212.291666666657</v>
      </c>
      <c r="H462" s="2">
        <v>46212.791666666657</v>
      </c>
      <c r="I462">
        <v>12</v>
      </c>
      <c r="J462" t="s">
        <v>31</v>
      </c>
      <c r="K462" t="s">
        <v>102</v>
      </c>
    </row>
    <row r="463" spans="1:11" x14ac:dyDescent="0.2">
      <c r="A463" t="s">
        <v>569</v>
      </c>
      <c r="B463" s="1">
        <v>46212</v>
      </c>
      <c r="C463" t="s">
        <v>144</v>
      </c>
      <c r="D463" t="s">
        <v>101</v>
      </c>
      <c r="E463" t="s">
        <v>32</v>
      </c>
      <c r="F463" t="s">
        <v>30</v>
      </c>
      <c r="G463" s="2">
        <v>46212.791666666657</v>
      </c>
      <c r="H463" s="2">
        <v>46213.291666666657</v>
      </c>
      <c r="I463">
        <v>12</v>
      </c>
      <c r="J463" t="s">
        <v>19</v>
      </c>
      <c r="K463" t="s">
        <v>102</v>
      </c>
    </row>
    <row r="464" spans="1:11" x14ac:dyDescent="0.2">
      <c r="A464" t="s">
        <v>570</v>
      </c>
      <c r="B464" s="1">
        <v>46212</v>
      </c>
      <c r="C464" t="s">
        <v>144</v>
      </c>
      <c r="D464" t="s">
        <v>101</v>
      </c>
      <c r="E464" t="s">
        <v>48</v>
      </c>
      <c r="F464" t="s">
        <v>23</v>
      </c>
      <c r="G464" s="2">
        <v>46212.291666666657</v>
      </c>
      <c r="H464" s="2">
        <v>46212.791666666657</v>
      </c>
      <c r="I464">
        <v>12</v>
      </c>
      <c r="J464" t="s">
        <v>35</v>
      </c>
      <c r="K464" t="s">
        <v>102</v>
      </c>
    </row>
    <row r="465" spans="1:11" x14ac:dyDescent="0.2">
      <c r="A465" t="s">
        <v>571</v>
      </c>
      <c r="B465" s="1">
        <v>46212</v>
      </c>
      <c r="C465" t="s">
        <v>144</v>
      </c>
      <c r="D465" t="s">
        <v>101</v>
      </c>
      <c r="E465" t="s">
        <v>48</v>
      </c>
      <c r="F465" t="s">
        <v>30</v>
      </c>
      <c r="G465" s="2">
        <v>46212.791666666657</v>
      </c>
      <c r="H465" s="2">
        <v>46213.291666666657</v>
      </c>
      <c r="I465">
        <v>12</v>
      </c>
      <c r="J465" t="s">
        <v>37</v>
      </c>
      <c r="K465" t="s">
        <v>102</v>
      </c>
    </row>
    <row r="466" spans="1:11" x14ac:dyDescent="0.2">
      <c r="A466" t="s">
        <v>572</v>
      </c>
      <c r="B466" s="1">
        <v>46212</v>
      </c>
      <c r="C466" t="s">
        <v>144</v>
      </c>
      <c r="D466" t="s">
        <v>101</v>
      </c>
      <c r="E466" t="s">
        <v>36</v>
      </c>
      <c r="F466" t="s">
        <v>23</v>
      </c>
      <c r="G466" s="2">
        <v>46212.291666666657</v>
      </c>
      <c r="H466" s="2">
        <v>46212.791666666657</v>
      </c>
      <c r="I466">
        <v>12</v>
      </c>
      <c r="J466" t="s">
        <v>46</v>
      </c>
      <c r="K466" t="s">
        <v>102</v>
      </c>
    </row>
    <row r="467" spans="1:11" x14ac:dyDescent="0.2">
      <c r="A467" t="s">
        <v>573</v>
      </c>
      <c r="B467" s="1">
        <v>46212</v>
      </c>
      <c r="C467" t="s">
        <v>144</v>
      </c>
      <c r="D467" t="s">
        <v>101</v>
      </c>
      <c r="E467" t="s">
        <v>36</v>
      </c>
      <c r="F467" t="s">
        <v>30</v>
      </c>
      <c r="G467" s="2">
        <v>46212.791666666657</v>
      </c>
      <c r="H467" s="2">
        <v>46213.291666666657</v>
      </c>
      <c r="I467">
        <v>12</v>
      </c>
      <c r="J467" t="s">
        <v>47</v>
      </c>
      <c r="K467" t="s">
        <v>102</v>
      </c>
    </row>
    <row r="468" spans="1:11" x14ac:dyDescent="0.2">
      <c r="A468" t="s">
        <v>574</v>
      </c>
      <c r="B468" s="1">
        <v>46212</v>
      </c>
      <c r="C468" t="s">
        <v>144</v>
      </c>
      <c r="D468" t="s">
        <v>101</v>
      </c>
      <c r="E468" t="s">
        <v>14</v>
      </c>
      <c r="F468" t="s">
        <v>23</v>
      </c>
      <c r="G468" s="2">
        <v>46212.291666666657</v>
      </c>
      <c r="H468" s="2">
        <v>46212.791666666657</v>
      </c>
      <c r="I468">
        <v>12</v>
      </c>
      <c r="J468" t="s">
        <v>52</v>
      </c>
      <c r="K468" t="s">
        <v>102</v>
      </c>
    </row>
    <row r="469" spans="1:11" x14ac:dyDescent="0.2">
      <c r="A469" t="s">
        <v>575</v>
      </c>
      <c r="B469" s="1">
        <v>46212</v>
      </c>
      <c r="C469" t="s">
        <v>144</v>
      </c>
      <c r="D469" t="s">
        <v>101</v>
      </c>
      <c r="E469" t="s">
        <v>14</v>
      </c>
      <c r="F469" t="s">
        <v>30</v>
      </c>
      <c r="G469" s="2">
        <v>46212.791666666657</v>
      </c>
      <c r="H469" s="2">
        <v>46213.291666666657</v>
      </c>
      <c r="I469">
        <v>12</v>
      </c>
      <c r="J469" t="s">
        <v>54</v>
      </c>
      <c r="K469" t="s">
        <v>102</v>
      </c>
    </row>
    <row r="470" spans="1:11" x14ac:dyDescent="0.2">
      <c r="A470" t="s">
        <v>576</v>
      </c>
      <c r="B470" s="1">
        <v>46212</v>
      </c>
      <c r="C470" t="s">
        <v>144</v>
      </c>
      <c r="D470" t="s">
        <v>101</v>
      </c>
      <c r="E470" t="s">
        <v>38</v>
      </c>
      <c r="F470" t="s">
        <v>23</v>
      </c>
      <c r="G470" s="2">
        <v>46212.291666666657</v>
      </c>
      <c r="H470" s="2">
        <v>46212.791666666657</v>
      </c>
      <c r="I470">
        <v>12</v>
      </c>
      <c r="J470" t="s">
        <v>58</v>
      </c>
      <c r="K470" t="s">
        <v>102</v>
      </c>
    </row>
    <row r="471" spans="1:11" x14ac:dyDescent="0.2">
      <c r="A471" t="s">
        <v>577</v>
      </c>
      <c r="B471" s="1">
        <v>46212</v>
      </c>
      <c r="C471" t="s">
        <v>144</v>
      </c>
      <c r="D471" t="s">
        <v>101</v>
      </c>
      <c r="E471" t="s">
        <v>38</v>
      </c>
      <c r="F471" t="s">
        <v>30</v>
      </c>
      <c r="G471" s="2">
        <v>46212.791666666657</v>
      </c>
      <c r="H471" s="2">
        <v>46213.291666666657</v>
      </c>
      <c r="I471">
        <v>12</v>
      </c>
      <c r="J471" t="s">
        <v>59</v>
      </c>
      <c r="K471" t="s">
        <v>102</v>
      </c>
    </row>
    <row r="472" spans="1:11" x14ac:dyDescent="0.2">
      <c r="A472" t="s">
        <v>578</v>
      </c>
      <c r="B472" s="1">
        <v>46212</v>
      </c>
      <c r="C472" t="s">
        <v>144</v>
      </c>
      <c r="D472" t="s">
        <v>101</v>
      </c>
      <c r="E472" t="s">
        <v>29</v>
      </c>
      <c r="F472" t="s">
        <v>23</v>
      </c>
      <c r="G472" s="2">
        <v>46212.291666666657</v>
      </c>
      <c r="H472" s="2">
        <v>46212.791666666657</v>
      </c>
      <c r="I472">
        <v>12</v>
      </c>
      <c r="J472" t="s">
        <v>63</v>
      </c>
      <c r="K472" t="s">
        <v>102</v>
      </c>
    </row>
    <row r="473" spans="1:11" x14ac:dyDescent="0.2">
      <c r="A473" t="s">
        <v>579</v>
      </c>
      <c r="B473" s="1">
        <v>46212</v>
      </c>
      <c r="C473" t="s">
        <v>144</v>
      </c>
      <c r="D473" t="s">
        <v>101</v>
      </c>
      <c r="E473" t="s">
        <v>29</v>
      </c>
      <c r="F473" t="s">
        <v>30</v>
      </c>
      <c r="G473" s="2">
        <v>46212.791666666657</v>
      </c>
      <c r="H473" s="2">
        <v>46213.291666666657</v>
      </c>
      <c r="I473">
        <v>12</v>
      </c>
      <c r="J473" t="s">
        <v>62</v>
      </c>
      <c r="K473" t="s">
        <v>102</v>
      </c>
    </row>
    <row r="474" spans="1:11" x14ac:dyDescent="0.2">
      <c r="A474" t="s">
        <v>580</v>
      </c>
      <c r="B474" s="1">
        <v>46212</v>
      </c>
      <c r="C474" t="s">
        <v>144</v>
      </c>
      <c r="D474" t="s">
        <v>101</v>
      </c>
      <c r="E474" t="s">
        <v>20</v>
      </c>
      <c r="F474" t="s">
        <v>23</v>
      </c>
      <c r="G474" s="2">
        <v>46212.291666666657</v>
      </c>
      <c r="H474" s="2">
        <v>46212.791666666657</v>
      </c>
      <c r="I474">
        <v>12</v>
      </c>
      <c r="J474" t="s">
        <v>67</v>
      </c>
      <c r="K474" t="s">
        <v>102</v>
      </c>
    </row>
    <row r="475" spans="1:11" x14ac:dyDescent="0.2">
      <c r="A475" t="s">
        <v>581</v>
      </c>
      <c r="B475" s="1">
        <v>46212</v>
      </c>
      <c r="C475" t="s">
        <v>144</v>
      </c>
      <c r="D475" t="s">
        <v>101</v>
      </c>
      <c r="E475" t="s">
        <v>20</v>
      </c>
      <c r="F475" t="s">
        <v>30</v>
      </c>
      <c r="G475" s="2">
        <v>46212.791666666657</v>
      </c>
      <c r="H475" s="2">
        <v>46213.291666666657</v>
      </c>
      <c r="I475">
        <v>12</v>
      </c>
      <c r="J475" t="s">
        <v>68</v>
      </c>
      <c r="K475" t="s">
        <v>102</v>
      </c>
    </row>
    <row r="476" spans="1:11" x14ac:dyDescent="0.2">
      <c r="A476" t="s">
        <v>582</v>
      </c>
      <c r="B476" s="1">
        <v>46212</v>
      </c>
      <c r="C476" t="s">
        <v>144</v>
      </c>
      <c r="D476" t="s">
        <v>101</v>
      </c>
      <c r="E476" t="s">
        <v>72</v>
      </c>
      <c r="F476" t="s">
        <v>23</v>
      </c>
      <c r="G476" s="2">
        <v>46212.291666666657</v>
      </c>
      <c r="H476" s="2">
        <v>46212.791666666657</v>
      </c>
      <c r="I476">
        <v>12</v>
      </c>
      <c r="J476" t="s">
        <v>74</v>
      </c>
      <c r="K476" t="s">
        <v>102</v>
      </c>
    </row>
    <row r="477" spans="1:11" x14ac:dyDescent="0.2">
      <c r="A477" t="s">
        <v>583</v>
      </c>
      <c r="B477" s="1">
        <v>46212</v>
      </c>
      <c r="C477" t="s">
        <v>144</v>
      </c>
      <c r="D477" t="s">
        <v>101</v>
      </c>
      <c r="E477" t="s">
        <v>72</v>
      </c>
      <c r="F477" t="s">
        <v>30</v>
      </c>
      <c r="G477" s="2">
        <v>46212.791666666657</v>
      </c>
      <c r="H477" s="2">
        <v>46213.291666666657</v>
      </c>
      <c r="I477">
        <v>12</v>
      </c>
      <c r="J477" t="s">
        <v>76</v>
      </c>
      <c r="K477" t="s">
        <v>102</v>
      </c>
    </row>
    <row r="478" spans="1:11" x14ac:dyDescent="0.2">
      <c r="A478" t="s">
        <v>584</v>
      </c>
      <c r="B478" s="1">
        <v>46212</v>
      </c>
      <c r="C478" t="s">
        <v>144</v>
      </c>
      <c r="D478" t="s">
        <v>101</v>
      </c>
      <c r="E478" t="s">
        <v>56</v>
      </c>
      <c r="F478" t="s">
        <v>23</v>
      </c>
      <c r="G478" s="2">
        <v>46212.291666666657</v>
      </c>
      <c r="H478" s="2">
        <v>46212.791666666657</v>
      </c>
      <c r="I478">
        <v>12</v>
      </c>
      <c r="J478" t="s">
        <v>83</v>
      </c>
      <c r="K478" t="s">
        <v>102</v>
      </c>
    </row>
    <row r="479" spans="1:11" x14ac:dyDescent="0.2">
      <c r="A479" t="s">
        <v>585</v>
      </c>
      <c r="B479" s="1">
        <v>46212</v>
      </c>
      <c r="C479" t="s">
        <v>144</v>
      </c>
      <c r="D479" t="s">
        <v>101</v>
      </c>
      <c r="E479" t="s">
        <v>56</v>
      </c>
      <c r="F479" t="s">
        <v>30</v>
      </c>
      <c r="G479" s="2">
        <v>46212.791666666657</v>
      </c>
      <c r="H479" s="2">
        <v>46213.291666666657</v>
      </c>
      <c r="I479">
        <v>12</v>
      </c>
      <c r="J479" t="s">
        <v>79</v>
      </c>
      <c r="K479" t="s">
        <v>102</v>
      </c>
    </row>
    <row r="480" spans="1:11" x14ac:dyDescent="0.2">
      <c r="A480" t="s">
        <v>586</v>
      </c>
      <c r="B480" s="1">
        <v>46212</v>
      </c>
      <c r="C480" t="s">
        <v>144</v>
      </c>
      <c r="D480" t="s">
        <v>101</v>
      </c>
      <c r="E480" t="s">
        <v>50</v>
      </c>
      <c r="F480" t="s">
        <v>23</v>
      </c>
      <c r="G480" s="2">
        <v>46212.291666666657</v>
      </c>
      <c r="H480" s="2">
        <v>46212.791666666657</v>
      </c>
      <c r="I480">
        <v>12</v>
      </c>
      <c r="J480" t="s">
        <v>86</v>
      </c>
      <c r="K480" t="s">
        <v>102</v>
      </c>
    </row>
    <row r="481" spans="1:11" x14ac:dyDescent="0.2">
      <c r="A481" t="s">
        <v>587</v>
      </c>
      <c r="B481" s="1">
        <v>46212</v>
      </c>
      <c r="C481" t="s">
        <v>144</v>
      </c>
      <c r="D481" t="s">
        <v>101</v>
      </c>
      <c r="E481" t="s">
        <v>50</v>
      </c>
      <c r="F481" t="s">
        <v>30</v>
      </c>
      <c r="G481" s="2">
        <v>46212.791666666657</v>
      </c>
      <c r="H481" s="2">
        <v>46213.291666666657</v>
      </c>
      <c r="I481">
        <v>12</v>
      </c>
      <c r="J481" t="s">
        <v>84</v>
      </c>
      <c r="K481" t="s">
        <v>102</v>
      </c>
    </row>
    <row r="482" spans="1:11" x14ac:dyDescent="0.2">
      <c r="A482" t="s">
        <v>588</v>
      </c>
      <c r="B482" s="1">
        <v>46213</v>
      </c>
      <c r="C482" t="s">
        <v>165</v>
      </c>
      <c r="D482" t="s">
        <v>101</v>
      </c>
      <c r="E482" t="s">
        <v>32</v>
      </c>
      <c r="F482" t="s">
        <v>23</v>
      </c>
      <c r="G482" s="2">
        <v>46213.291666666657</v>
      </c>
      <c r="H482" s="2">
        <v>46213.791666666657</v>
      </c>
      <c r="I482">
        <v>12</v>
      </c>
      <c r="J482" t="s">
        <v>19</v>
      </c>
      <c r="K482" t="s">
        <v>102</v>
      </c>
    </row>
    <row r="483" spans="1:11" x14ac:dyDescent="0.2">
      <c r="A483" t="s">
        <v>589</v>
      </c>
      <c r="B483" s="1">
        <v>46213</v>
      </c>
      <c r="C483" t="s">
        <v>165</v>
      </c>
      <c r="D483" t="s">
        <v>101</v>
      </c>
      <c r="E483" t="s">
        <v>32</v>
      </c>
      <c r="F483" t="s">
        <v>30</v>
      </c>
      <c r="G483" s="2">
        <v>46213.791666666657</v>
      </c>
      <c r="H483" s="2">
        <v>46214.291666666657</v>
      </c>
      <c r="I483">
        <v>12</v>
      </c>
      <c r="J483" t="s">
        <v>13</v>
      </c>
      <c r="K483" t="s">
        <v>102</v>
      </c>
    </row>
    <row r="484" spans="1:11" x14ac:dyDescent="0.2">
      <c r="A484" t="s">
        <v>590</v>
      </c>
      <c r="B484" s="1">
        <v>46213</v>
      </c>
      <c r="C484" t="s">
        <v>165</v>
      </c>
      <c r="D484" t="s">
        <v>101</v>
      </c>
      <c r="E484" t="s">
        <v>48</v>
      </c>
      <c r="F484" t="s">
        <v>23</v>
      </c>
      <c r="G484" s="2">
        <v>46213.291666666657</v>
      </c>
      <c r="H484" s="2">
        <v>46213.791666666657</v>
      </c>
      <c r="I484">
        <v>12</v>
      </c>
      <c r="J484" t="s">
        <v>37</v>
      </c>
      <c r="K484" t="s">
        <v>102</v>
      </c>
    </row>
    <row r="485" spans="1:11" x14ac:dyDescent="0.2">
      <c r="A485" t="s">
        <v>591</v>
      </c>
      <c r="B485" s="1">
        <v>46213</v>
      </c>
      <c r="C485" t="s">
        <v>165</v>
      </c>
      <c r="D485" t="s">
        <v>101</v>
      </c>
      <c r="E485" t="s">
        <v>48</v>
      </c>
      <c r="F485" t="s">
        <v>30</v>
      </c>
      <c r="G485" s="2">
        <v>46213.791666666657</v>
      </c>
      <c r="H485" s="2">
        <v>46214.291666666657</v>
      </c>
      <c r="I485">
        <v>12</v>
      </c>
      <c r="J485" t="s">
        <v>41</v>
      </c>
      <c r="K485" t="s">
        <v>102</v>
      </c>
    </row>
    <row r="486" spans="1:11" x14ac:dyDescent="0.2">
      <c r="A486" t="s">
        <v>592</v>
      </c>
      <c r="B486" s="1">
        <v>46213</v>
      </c>
      <c r="C486" t="s">
        <v>165</v>
      </c>
      <c r="D486" t="s">
        <v>101</v>
      </c>
      <c r="E486" t="s">
        <v>36</v>
      </c>
      <c r="F486" t="s">
        <v>23</v>
      </c>
      <c r="G486" s="2">
        <v>46213.291666666657</v>
      </c>
      <c r="H486" s="2">
        <v>46213.791666666657</v>
      </c>
      <c r="I486">
        <v>12</v>
      </c>
      <c r="J486" t="s">
        <v>43</v>
      </c>
      <c r="K486" t="s">
        <v>102</v>
      </c>
    </row>
    <row r="487" spans="1:11" x14ac:dyDescent="0.2">
      <c r="A487" t="s">
        <v>593</v>
      </c>
      <c r="B487" s="1">
        <v>46213</v>
      </c>
      <c r="C487" t="s">
        <v>165</v>
      </c>
      <c r="D487" t="s">
        <v>101</v>
      </c>
      <c r="E487" t="s">
        <v>36</v>
      </c>
      <c r="F487" t="s">
        <v>30</v>
      </c>
      <c r="G487" s="2">
        <v>46213.791666666657</v>
      </c>
      <c r="H487" s="2">
        <v>46214.291666666657</v>
      </c>
      <c r="I487">
        <v>12</v>
      </c>
      <c r="J487" t="s">
        <v>44</v>
      </c>
      <c r="K487" t="s">
        <v>102</v>
      </c>
    </row>
    <row r="488" spans="1:11" x14ac:dyDescent="0.2">
      <c r="A488" t="s">
        <v>594</v>
      </c>
      <c r="B488" s="1">
        <v>46213</v>
      </c>
      <c r="C488" t="s">
        <v>165</v>
      </c>
      <c r="D488" t="s">
        <v>101</v>
      </c>
      <c r="E488" t="s">
        <v>14</v>
      </c>
      <c r="F488" t="s">
        <v>23</v>
      </c>
      <c r="G488" s="2">
        <v>46213.291666666657</v>
      </c>
      <c r="H488" s="2">
        <v>46213.791666666657</v>
      </c>
      <c r="I488">
        <v>12</v>
      </c>
      <c r="J488" t="s">
        <v>53</v>
      </c>
      <c r="K488" t="s">
        <v>102</v>
      </c>
    </row>
    <row r="489" spans="1:11" x14ac:dyDescent="0.2">
      <c r="A489" t="s">
        <v>595</v>
      </c>
      <c r="B489" s="1">
        <v>46213</v>
      </c>
      <c r="C489" t="s">
        <v>165</v>
      </c>
      <c r="D489" t="s">
        <v>101</v>
      </c>
      <c r="E489" t="s">
        <v>14</v>
      </c>
      <c r="F489" t="s">
        <v>30</v>
      </c>
      <c r="G489" s="2">
        <v>46213.791666666657</v>
      </c>
      <c r="H489" s="2">
        <v>46214.291666666657</v>
      </c>
      <c r="I489">
        <v>12</v>
      </c>
      <c r="J489" t="s">
        <v>49</v>
      </c>
      <c r="K489" t="s">
        <v>102</v>
      </c>
    </row>
    <row r="490" spans="1:11" x14ac:dyDescent="0.2">
      <c r="A490" t="s">
        <v>596</v>
      </c>
      <c r="B490" s="1">
        <v>46213</v>
      </c>
      <c r="C490" t="s">
        <v>165</v>
      </c>
      <c r="D490" t="s">
        <v>101</v>
      </c>
      <c r="E490" t="s">
        <v>38</v>
      </c>
      <c r="F490" t="s">
        <v>23</v>
      </c>
      <c r="G490" s="2">
        <v>46213.291666666657</v>
      </c>
      <c r="H490" s="2">
        <v>46213.791666666657</v>
      </c>
      <c r="I490">
        <v>12</v>
      </c>
      <c r="J490" t="s">
        <v>55</v>
      </c>
      <c r="K490" t="s">
        <v>102</v>
      </c>
    </row>
    <row r="491" spans="1:11" x14ac:dyDescent="0.2">
      <c r="A491" t="s">
        <v>597</v>
      </c>
      <c r="B491" s="1">
        <v>46213</v>
      </c>
      <c r="C491" t="s">
        <v>165</v>
      </c>
      <c r="D491" t="s">
        <v>101</v>
      </c>
      <c r="E491" t="s">
        <v>38</v>
      </c>
      <c r="F491" t="s">
        <v>30</v>
      </c>
      <c r="G491" s="2">
        <v>46213.791666666657</v>
      </c>
      <c r="H491" s="2">
        <v>46214.291666666657</v>
      </c>
      <c r="I491">
        <v>12</v>
      </c>
      <c r="J491" t="s">
        <v>59</v>
      </c>
      <c r="K491" t="s">
        <v>102</v>
      </c>
    </row>
    <row r="492" spans="1:11" x14ac:dyDescent="0.2">
      <c r="A492" t="s">
        <v>598</v>
      </c>
      <c r="B492" s="1">
        <v>46213</v>
      </c>
      <c r="C492" t="s">
        <v>165</v>
      </c>
      <c r="D492" t="s">
        <v>101</v>
      </c>
      <c r="E492" t="s">
        <v>29</v>
      </c>
      <c r="F492" t="s">
        <v>23</v>
      </c>
      <c r="G492" s="2">
        <v>46213.291666666657</v>
      </c>
      <c r="H492" s="2">
        <v>46213.791666666657</v>
      </c>
      <c r="I492">
        <v>12</v>
      </c>
      <c r="J492" t="s">
        <v>62</v>
      </c>
      <c r="K492" t="s">
        <v>102</v>
      </c>
    </row>
    <row r="493" spans="1:11" x14ac:dyDescent="0.2">
      <c r="A493" t="s">
        <v>599</v>
      </c>
      <c r="B493" s="1">
        <v>46213</v>
      </c>
      <c r="C493" t="s">
        <v>165</v>
      </c>
      <c r="D493" t="s">
        <v>101</v>
      </c>
      <c r="E493" t="s">
        <v>29</v>
      </c>
      <c r="F493" t="s">
        <v>30</v>
      </c>
      <c r="G493" s="2">
        <v>46213.791666666657</v>
      </c>
      <c r="H493" s="2">
        <v>46214.291666666657</v>
      </c>
      <c r="I493">
        <v>12</v>
      </c>
      <c r="J493" t="s">
        <v>63</v>
      </c>
      <c r="K493" t="s">
        <v>102</v>
      </c>
    </row>
    <row r="494" spans="1:11" x14ac:dyDescent="0.2">
      <c r="A494" t="s">
        <v>600</v>
      </c>
      <c r="B494" s="1">
        <v>46213</v>
      </c>
      <c r="C494" t="s">
        <v>165</v>
      </c>
      <c r="D494" t="s">
        <v>101</v>
      </c>
      <c r="E494" t="s">
        <v>20</v>
      </c>
      <c r="F494" t="s">
        <v>23</v>
      </c>
      <c r="G494" s="2">
        <v>46213.291666666657</v>
      </c>
      <c r="H494" s="2">
        <v>46213.791666666657</v>
      </c>
      <c r="I494">
        <v>12</v>
      </c>
      <c r="J494" t="s">
        <v>67</v>
      </c>
      <c r="K494" t="s">
        <v>102</v>
      </c>
    </row>
    <row r="495" spans="1:11" x14ac:dyDescent="0.2">
      <c r="A495" t="s">
        <v>601</v>
      </c>
      <c r="B495" s="1">
        <v>46213</v>
      </c>
      <c r="C495" t="s">
        <v>165</v>
      </c>
      <c r="D495" t="s">
        <v>101</v>
      </c>
      <c r="E495" t="s">
        <v>20</v>
      </c>
      <c r="F495" t="s">
        <v>30</v>
      </c>
      <c r="G495" s="2">
        <v>46213.791666666657</v>
      </c>
      <c r="H495" s="2">
        <v>46214.291666666657</v>
      </c>
      <c r="I495">
        <v>12</v>
      </c>
      <c r="J495" t="s">
        <v>68</v>
      </c>
      <c r="K495" t="s">
        <v>102</v>
      </c>
    </row>
    <row r="496" spans="1:11" x14ac:dyDescent="0.2">
      <c r="A496" t="s">
        <v>602</v>
      </c>
      <c r="B496" s="1">
        <v>46213</v>
      </c>
      <c r="C496" t="s">
        <v>165</v>
      </c>
      <c r="D496" t="s">
        <v>101</v>
      </c>
      <c r="E496" t="s">
        <v>72</v>
      </c>
      <c r="F496" t="s">
        <v>23</v>
      </c>
      <c r="G496" s="2">
        <v>46213.291666666657</v>
      </c>
      <c r="H496" s="2">
        <v>46213.791666666657</v>
      </c>
      <c r="I496">
        <v>12</v>
      </c>
      <c r="J496" t="s">
        <v>76</v>
      </c>
      <c r="K496" t="s">
        <v>102</v>
      </c>
    </row>
    <row r="497" spans="1:11" x14ac:dyDescent="0.2">
      <c r="A497" t="s">
        <v>603</v>
      </c>
      <c r="B497" s="1">
        <v>46213</v>
      </c>
      <c r="C497" t="s">
        <v>165</v>
      </c>
      <c r="D497" t="s">
        <v>101</v>
      </c>
      <c r="E497" t="s">
        <v>72</v>
      </c>
      <c r="F497" t="s">
        <v>30</v>
      </c>
      <c r="G497" s="2">
        <v>46213.791666666657</v>
      </c>
      <c r="H497" s="2">
        <v>46214.291666666657</v>
      </c>
      <c r="I497">
        <v>12</v>
      </c>
      <c r="J497" t="s">
        <v>74</v>
      </c>
      <c r="K497" t="s">
        <v>102</v>
      </c>
    </row>
    <row r="498" spans="1:11" x14ac:dyDescent="0.2">
      <c r="A498" t="s">
        <v>604</v>
      </c>
      <c r="B498" s="1">
        <v>46213</v>
      </c>
      <c r="C498" t="s">
        <v>165</v>
      </c>
      <c r="D498" t="s">
        <v>101</v>
      </c>
      <c r="E498" t="s">
        <v>56</v>
      </c>
      <c r="F498" t="s">
        <v>23</v>
      </c>
      <c r="G498" s="2">
        <v>46213.291666666657</v>
      </c>
      <c r="H498" s="2">
        <v>46213.791666666657</v>
      </c>
      <c r="I498">
        <v>12</v>
      </c>
      <c r="J498" t="s">
        <v>82</v>
      </c>
      <c r="K498" t="s">
        <v>102</v>
      </c>
    </row>
    <row r="499" spans="1:11" x14ac:dyDescent="0.2">
      <c r="A499" t="s">
        <v>605</v>
      </c>
      <c r="B499" s="1">
        <v>46213</v>
      </c>
      <c r="C499" t="s">
        <v>165</v>
      </c>
      <c r="D499" t="s">
        <v>101</v>
      </c>
      <c r="E499" t="s">
        <v>56</v>
      </c>
      <c r="F499" t="s">
        <v>30</v>
      </c>
      <c r="G499" s="2">
        <v>46213.791666666657</v>
      </c>
      <c r="H499" s="2">
        <v>46214.291666666657</v>
      </c>
      <c r="I499">
        <v>12</v>
      </c>
      <c r="J499" t="s">
        <v>80</v>
      </c>
      <c r="K499" t="s">
        <v>102</v>
      </c>
    </row>
    <row r="500" spans="1:11" x14ac:dyDescent="0.2">
      <c r="A500" t="s">
        <v>606</v>
      </c>
      <c r="B500" s="1">
        <v>46213</v>
      </c>
      <c r="C500" t="s">
        <v>165</v>
      </c>
      <c r="D500" t="s">
        <v>101</v>
      </c>
      <c r="E500" t="s">
        <v>50</v>
      </c>
      <c r="F500" t="s">
        <v>23</v>
      </c>
      <c r="G500" s="2">
        <v>46213.291666666657</v>
      </c>
      <c r="H500" s="2">
        <v>46213.791666666657</v>
      </c>
      <c r="I500">
        <v>12</v>
      </c>
      <c r="J500" t="s">
        <v>86</v>
      </c>
      <c r="K500" t="s">
        <v>102</v>
      </c>
    </row>
    <row r="501" spans="1:11" x14ac:dyDescent="0.2">
      <c r="A501" t="s">
        <v>607</v>
      </c>
      <c r="B501" s="1">
        <v>46213</v>
      </c>
      <c r="C501" t="s">
        <v>165</v>
      </c>
      <c r="D501" t="s">
        <v>101</v>
      </c>
      <c r="E501" t="s">
        <v>50</v>
      </c>
      <c r="F501" t="s">
        <v>30</v>
      </c>
      <c r="G501" s="2">
        <v>46213.791666666657</v>
      </c>
      <c r="H501" s="2">
        <v>46214.291666666657</v>
      </c>
      <c r="I501">
        <v>12</v>
      </c>
      <c r="J501" t="s">
        <v>85</v>
      </c>
      <c r="K501" t="s">
        <v>102</v>
      </c>
    </row>
    <row r="502" spans="1:11" x14ac:dyDescent="0.2">
      <c r="A502" t="s">
        <v>608</v>
      </c>
      <c r="B502" s="1">
        <v>46214</v>
      </c>
      <c r="C502" t="s">
        <v>186</v>
      </c>
      <c r="D502" t="s">
        <v>101</v>
      </c>
      <c r="E502" t="s">
        <v>32</v>
      </c>
      <c r="F502" t="s">
        <v>23</v>
      </c>
      <c r="G502" s="2">
        <v>46214.291666666657</v>
      </c>
      <c r="H502" s="2">
        <v>46214.791666666657</v>
      </c>
      <c r="I502">
        <v>12</v>
      </c>
      <c r="J502" t="s">
        <v>19</v>
      </c>
      <c r="K502" t="s">
        <v>102</v>
      </c>
    </row>
    <row r="503" spans="1:11" x14ac:dyDescent="0.2">
      <c r="A503" t="s">
        <v>609</v>
      </c>
      <c r="B503" s="1">
        <v>46214</v>
      </c>
      <c r="C503" t="s">
        <v>186</v>
      </c>
      <c r="D503" t="s">
        <v>101</v>
      </c>
      <c r="E503" t="s">
        <v>32</v>
      </c>
      <c r="F503" t="s">
        <v>30</v>
      </c>
      <c r="G503" s="2">
        <v>46214.791666666657</v>
      </c>
      <c r="H503" s="2">
        <v>46215.291666666657</v>
      </c>
      <c r="I503">
        <v>12</v>
      </c>
      <c r="J503" t="s">
        <v>13</v>
      </c>
      <c r="K503" t="s">
        <v>102</v>
      </c>
    </row>
    <row r="504" spans="1:11" x14ac:dyDescent="0.2">
      <c r="A504" t="s">
        <v>610</v>
      </c>
      <c r="B504" s="1">
        <v>46214</v>
      </c>
      <c r="C504" t="s">
        <v>186</v>
      </c>
      <c r="D504" t="s">
        <v>101</v>
      </c>
      <c r="E504" t="s">
        <v>48</v>
      </c>
      <c r="F504" t="s">
        <v>23</v>
      </c>
      <c r="G504" s="2">
        <v>46214.291666666657</v>
      </c>
      <c r="H504" s="2">
        <v>46214.791666666657</v>
      </c>
      <c r="I504">
        <v>12</v>
      </c>
      <c r="J504" t="s">
        <v>40</v>
      </c>
      <c r="K504" t="s">
        <v>102</v>
      </c>
    </row>
    <row r="505" spans="1:11" x14ac:dyDescent="0.2">
      <c r="A505" t="s">
        <v>611</v>
      </c>
      <c r="B505" s="1">
        <v>46214</v>
      </c>
      <c r="C505" t="s">
        <v>186</v>
      </c>
      <c r="D505" t="s">
        <v>101</v>
      </c>
      <c r="E505" t="s">
        <v>48</v>
      </c>
      <c r="F505" t="s">
        <v>30</v>
      </c>
      <c r="G505" s="2">
        <v>46214.791666666657</v>
      </c>
      <c r="H505" s="2">
        <v>46215.291666666657</v>
      </c>
      <c r="I505">
        <v>12</v>
      </c>
      <c r="J505" t="s">
        <v>41</v>
      </c>
      <c r="K505" t="s">
        <v>102</v>
      </c>
    </row>
    <row r="506" spans="1:11" x14ac:dyDescent="0.2">
      <c r="A506" t="s">
        <v>612</v>
      </c>
      <c r="B506" s="1">
        <v>46214</v>
      </c>
      <c r="C506" t="s">
        <v>186</v>
      </c>
      <c r="D506" t="s">
        <v>101</v>
      </c>
      <c r="E506" t="s">
        <v>36</v>
      </c>
      <c r="F506" t="s">
        <v>23</v>
      </c>
      <c r="G506" s="2">
        <v>46214.291666666657</v>
      </c>
      <c r="H506" s="2">
        <v>46214.791666666657</v>
      </c>
      <c r="I506">
        <v>12</v>
      </c>
      <c r="J506" t="s">
        <v>44</v>
      </c>
      <c r="K506" t="s">
        <v>102</v>
      </c>
    </row>
    <row r="507" spans="1:11" x14ac:dyDescent="0.2">
      <c r="A507" t="s">
        <v>613</v>
      </c>
      <c r="B507" s="1">
        <v>46214</v>
      </c>
      <c r="C507" t="s">
        <v>186</v>
      </c>
      <c r="D507" t="s">
        <v>101</v>
      </c>
      <c r="E507" t="s">
        <v>36</v>
      </c>
      <c r="F507" t="s">
        <v>30</v>
      </c>
      <c r="G507" s="2">
        <v>46214.791666666657</v>
      </c>
      <c r="H507" s="2">
        <v>46215.291666666657</v>
      </c>
      <c r="I507">
        <v>12</v>
      </c>
      <c r="J507" t="s">
        <v>46</v>
      </c>
      <c r="K507" t="s">
        <v>102</v>
      </c>
    </row>
    <row r="508" spans="1:11" x14ac:dyDescent="0.2">
      <c r="A508" t="s">
        <v>614</v>
      </c>
      <c r="B508" s="1">
        <v>46214</v>
      </c>
      <c r="C508" t="s">
        <v>186</v>
      </c>
      <c r="D508" t="s">
        <v>101</v>
      </c>
      <c r="E508" t="s">
        <v>14</v>
      </c>
      <c r="F508" t="s">
        <v>23</v>
      </c>
      <c r="G508" s="2">
        <v>46214.291666666657</v>
      </c>
      <c r="H508" s="2">
        <v>46214.791666666657</v>
      </c>
      <c r="I508">
        <v>12</v>
      </c>
      <c r="J508" t="s">
        <v>54</v>
      </c>
      <c r="K508" t="s">
        <v>102</v>
      </c>
    </row>
    <row r="509" spans="1:11" x14ac:dyDescent="0.2">
      <c r="A509" t="s">
        <v>615</v>
      </c>
      <c r="B509" s="1">
        <v>46214</v>
      </c>
      <c r="C509" t="s">
        <v>186</v>
      </c>
      <c r="D509" t="s">
        <v>101</v>
      </c>
      <c r="E509" t="s">
        <v>14</v>
      </c>
      <c r="F509" t="s">
        <v>30</v>
      </c>
      <c r="G509" s="2">
        <v>46214.791666666657</v>
      </c>
      <c r="H509" s="2">
        <v>46215.291666666657</v>
      </c>
      <c r="I509">
        <v>12</v>
      </c>
      <c r="J509" t="s">
        <v>53</v>
      </c>
      <c r="K509" t="s">
        <v>102</v>
      </c>
    </row>
    <row r="510" spans="1:11" x14ac:dyDescent="0.2">
      <c r="A510" t="s">
        <v>616</v>
      </c>
      <c r="B510" s="1">
        <v>46214</v>
      </c>
      <c r="C510" t="s">
        <v>186</v>
      </c>
      <c r="D510" t="s">
        <v>101</v>
      </c>
      <c r="E510" t="s">
        <v>38</v>
      </c>
      <c r="F510" t="s">
        <v>23</v>
      </c>
      <c r="G510" s="2">
        <v>46214.291666666657</v>
      </c>
      <c r="H510" s="2">
        <v>46214.791666666657</v>
      </c>
      <c r="I510">
        <v>12</v>
      </c>
      <c r="J510" t="s">
        <v>61</v>
      </c>
      <c r="K510" t="s">
        <v>102</v>
      </c>
    </row>
    <row r="511" spans="1:11" x14ac:dyDescent="0.2">
      <c r="A511" t="s">
        <v>617</v>
      </c>
      <c r="B511" s="1">
        <v>46214</v>
      </c>
      <c r="C511" t="s">
        <v>186</v>
      </c>
      <c r="D511" t="s">
        <v>101</v>
      </c>
      <c r="E511" t="s">
        <v>38</v>
      </c>
      <c r="F511" t="s">
        <v>30</v>
      </c>
      <c r="G511" s="2">
        <v>46214.791666666657</v>
      </c>
      <c r="H511" s="2">
        <v>46215.291666666657</v>
      </c>
      <c r="I511">
        <v>12</v>
      </c>
      <c r="J511" t="s">
        <v>55</v>
      </c>
      <c r="K511" t="s">
        <v>102</v>
      </c>
    </row>
    <row r="512" spans="1:11" x14ac:dyDescent="0.2">
      <c r="A512" t="s">
        <v>618</v>
      </c>
      <c r="B512" s="1">
        <v>46214</v>
      </c>
      <c r="C512" t="s">
        <v>186</v>
      </c>
      <c r="D512" t="s">
        <v>101</v>
      </c>
      <c r="E512" t="s">
        <v>29</v>
      </c>
      <c r="F512" t="s">
        <v>23</v>
      </c>
      <c r="G512" s="2">
        <v>46214.291666666657</v>
      </c>
      <c r="H512" s="2">
        <v>46214.791666666657</v>
      </c>
      <c r="I512">
        <v>12</v>
      </c>
      <c r="J512" t="s">
        <v>63</v>
      </c>
      <c r="K512" t="s">
        <v>102</v>
      </c>
    </row>
    <row r="513" spans="1:11" x14ac:dyDescent="0.2">
      <c r="A513" t="s">
        <v>619</v>
      </c>
      <c r="B513" s="1">
        <v>46214</v>
      </c>
      <c r="C513" t="s">
        <v>186</v>
      </c>
      <c r="D513" t="s">
        <v>101</v>
      </c>
      <c r="E513" t="s">
        <v>29</v>
      </c>
      <c r="F513" t="s">
        <v>30</v>
      </c>
      <c r="G513" s="2">
        <v>46214.791666666657</v>
      </c>
      <c r="H513" s="2">
        <v>46215.291666666657</v>
      </c>
      <c r="I513">
        <v>12</v>
      </c>
      <c r="J513" t="s">
        <v>65</v>
      </c>
      <c r="K513" t="s">
        <v>102</v>
      </c>
    </row>
    <row r="514" spans="1:11" x14ac:dyDescent="0.2">
      <c r="A514" t="s">
        <v>620</v>
      </c>
      <c r="B514" s="1">
        <v>46214</v>
      </c>
      <c r="C514" t="s">
        <v>186</v>
      </c>
      <c r="D514" t="s">
        <v>101</v>
      </c>
      <c r="E514" t="s">
        <v>20</v>
      </c>
      <c r="F514" t="s">
        <v>23</v>
      </c>
      <c r="G514" s="2">
        <v>46214.291666666657</v>
      </c>
      <c r="H514" s="2">
        <v>46214.791666666657</v>
      </c>
      <c r="I514">
        <v>12</v>
      </c>
      <c r="J514" t="s">
        <v>71</v>
      </c>
      <c r="K514" t="s">
        <v>102</v>
      </c>
    </row>
    <row r="515" spans="1:11" x14ac:dyDescent="0.2">
      <c r="A515" t="s">
        <v>621</v>
      </c>
      <c r="B515" s="1">
        <v>46214</v>
      </c>
      <c r="C515" t="s">
        <v>186</v>
      </c>
      <c r="D515" t="s">
        <v>101</v>
      </c>
      <c r="E515" t="s">
        <v>20</v>
      </c>
      <c r="F515" t="s">
        <v>30</v>
      </c>
      <c r="G515" s="2">
        <v>46214.791666666657</v>
      </c>
      <c r="H515" s="2">
        <v>46215.291666666657</v>
      </c>
      <c r="I515">
        <v>12</v>
      </c>
      <c r="J515" t="s">
        <v>67</v>
      </c>
      <c r="K515" t="s">
        <v>102</v>
      </c>
    </row>
    <row r="516" spans="1:11" x14ac:dyDescent="0.2">
      <c r="A516" t="s">
        <v>622</v>
      </c>
      <c r="B516" s="1">
        <v>46214</v>
      </c>
      <c r="C516" t="s">
        <v>186</v>
      </c>
      <c r="D516" t="s">
        <v>101</v>
      </c>
      <c r="E516" t="s">
        <v>72</v>
      </c>
      <c r="F516" t="s">
        <v>23</v>
      </c>
      <c r="G516" s="2">
        <v>46214.291666666657</v>
      </c>
      <c r="H516" s="2">
        <v>46214.791666666657</v>
      </c>
      <c r="I516">
        <v>12</v>
      </c>
      <c r="J516" t="s">
        <v>76</v>
      </c>
      <c r="K516" t="s">
        <v>102</v>
      </c>
    </row>
    <row r="517" spans="1:11" x14ac:dyDescent="0.2">
      <c r="A517" t="s">
        <v>623</v>
      </c>
      <c r="B517" s="1">
        <v>46214</v>
      </c>
      <c r="C517" t="s">
        <v>186</v>
      </c>
      <c r="D517" t="s">
        <v>101</v>
      </c>
      <c r="E517" t="s">
        <v>72</v>
      </c>
      <c r="F517" t="s">
        <v>30</v>
      </c>
      <c r="G517" s="2">
        <v>46214.791666666657</v>
      </c>
      <c r="H517" s="2">
        <v>46215.291666666657</v>
      </c>
      <c r="I517">
        <v>12</v>
      </c>
      <c r="J517" t="s">
        <v>74</v>
      </c>
      <c r="K517" t="s">
        <v>102</v>
      </c>
    </row>
    <row r="518" spans="1:11" x14ac:dyDescent="0.2">
      <c r="A518" t="s">
        <v>624</v>
      </c>
      <c r="B518" s="1">
        <v>46214</v>
      </c>
      <c r="C518" t="s">
        <v>186</v>
      </c>
      <c r="D518" t="s">
        <v>101</v>
      </c>
      <c r="E518" t="s">
        <v>56</v>
      </c>
      <c r="F518" t="s">
        <v>23</v>
      </c>
      <c r="G518" s="2">
        <v>46214.291666666657</v>
      </c>
      <c r="H518" s="2">
        <v>46214.791666666657</v>
      </c>
      <c r="I518">
        <v>12</v>
      </c>
      <c r="J518" t="s">
        <v>82</v>
      </c>
      <c r="K518" t="s">
        <v>102</v>
      </c>
    </row>
    <row r="519" spans="1:11" x14ac:dyDescent="0.2">
      <c r="A519" t="s">
        <v>625</v>
      </c>
      <c r="B519" s="1">
        <v>46214</v>
      </c>
      <c r="C519" t="s">
        <v>186</v>
      </c>
      <c r="D519" t="s">
        <v>101</v>
      </c>
      <c r="E519" t="s">
        <v>56</v>
      </c>
      <c r="F519" t="s">
        <v>30</v>
      </c>
      <c r="G519" s="2">
        <v>46214.791666666657</v>
      </c>
      <c r="H519" s="2">
        <v>46215.291666666657</v>
      </c>
      <c r="I519">
        <v>12</v>
      </c>
      <c r="J519" t="s">
        <v>83</v>
      </c>
      <c r="K519" t="s">
        <v>102</v>
      </c>
    </row>
    <row r="520" spans="1:11" x14ac:dyDescent="0.2">
      <c r="A520" t="s">
        <v>626</v>
      </c>
      <c r="B520" s="1">
        <v>46214</v>
      </c>
      <c r="C520" t="s">
        <v>186</v>
      </c>
      <c r="D520" t="s">
        <v>101</v>
      </c>
      <c r="E520" t="s">
        <v>50</v>
      </c>
      <c r="F520" t="s">
        <v>23</v>
      </c>
      <c r="G520" s="2">
        <v>46214.291666666657</v>
      </c>
      <c r="H520" s="2">
        <v>46214.791666666657</v>
      </c>
      <c r="I520">
        <v>12</v>
      </c>
      <c r="J520" t="s">
        <v>87</v>
      </c>
      <c r="K520" t="s">
        <v>102</v>
      </c>
    </row>
    <row r="521" spans="1:11" x14ac:dyDescent="0.2">
      <c r="A521" t="s">
        <v>627</v>
      </c>
      <c r="B521" s="1">
        <v>46214</v>
      </c>
      <c r="C521" t="s">
        <v>186</v>
      </c>
      <c r="D521" t="s">
        <v>101</v>
      </c>
      <c r="E521" t="s">
        <v>50</v>
      </c>
      <c r="F521" t="s">
        <v>30</v>
      </c>
      <c r="G521" s="2">
        <v>46214.791666666657</v>
      </c>
      <c r="H521" s="2">
        <v>46215.291666666657</v>
      </c>
      <c r="I521">
        <v>12</v>
      </c>
      <c r="J521" t="s">
        <v>88</v>
      </c>
      <c r="K521" t="s">
        <v>102</v>
      </c>
    </row>
    <row r="522" spans="1:11" x14ac:dyDescent="0.2">
      <c r="A522" t="s">
        <v>628</v>
      </c>
      <c r="B522" s="1">
        <v>46215</v>
      </c>
      <c r="C522" t="s">
        <v>207</v>
      </c>
      <c r="D522" t="s">
        <v>101</v>
      </c>
      <c r="E522" t="s">
        <v>32</v>
      </c>
      <c r="F522" t="s">
        <v>23</v>
      </c>
      <c r="G522" s="2">
        <v>46215.291666666657</v>
      </c>
      <c r="H522" s="2">
        <v>46215.791666666657</v>
      </c>
      <c r="I522">
        <v>12</v>
      </c>
      <c r="J522" t="s">
        <v>13</v>
      </c>
      <c r="K522" t="s">
        <v>102</v>
      </c>
    </row>
    <row r="523" spans="1:11" x14ac:dyDescent="0.2">
      <c r="A523" t="s">
        <v>629</v>
      </c>
      <c r="B523" s="1">
        <v>46215</v>
      </c>
      <c r="C523" t="s">
        <v>207</v>
      </c>
      <c r="D523" t="s">
        <v>101</v>
      </c>
      <c r="E523" t="s">
        <v>32</v>
      </c>
      <c r="F523" t="s">
        <v>30</v>
      </c>
      <c r="G523" s="2">
        <v>46215.791666666657</v>
      </c>
      <c r="H523" s="2">
        <v>46216.291666666657</v>
      </c>
      <c r="I523">
        <v>12</v>
      </c>
      <c r="J523" t="s">
        <v>31</v>
      </c>
      <c r="K523" t="s">
        <v>102</v>
      </c>
    </row>
    <row r="524" spans="1:11" x14ac:dyDescent="0.2">
      <c r="A524" t="s">
        <v>630</v>
      </c>
      <c r="B524" s="1">
        <v>46215</v>
      </c>
      <c r="C524" t="s">
        <v>207</v>
      </c>
      <c r="D524" t="s">
        <v>101</v>
      </c>
      <c r="E524" t="s">
        <v>48</v>
      </c>
      <c r="F524" t="s">
        <v>23</v>
      </c>
      <c r="G524" s="2">
        <v>46215.291666666657</v>
      </c>
      <c r="H524" s="2">
        <v>46215.791666666657</v>
      </c>
      <c r="I524">
        <v>12</v>
      </c>
      <c r="J524" t="s">
        <v>37</v>
      </c>
      <c r="K524" t="s">
        <v>102</v>
      </c>
    </row>
    <row r="525" spans="1:11" x14ac:dyDescent="0.2">
      <c r="A525" t="s">
        <v>631</v>
      </c>
      <c r="B525" s="1">
        <v>46215</v>
      </c>
      <c r="C525" t="s">
        <v>207</v>
      </c>
      <c r="D525" t="s">
        <v>101</v>
      </c>
      <c r="E525" t="s">
        <v>48</v>
      </c>
      <c r="F525" t="s">
        <v>30</v>
      </c>
      <c r="G525" s="2">
        <v>46215.791666666657</v>
      </c>
      <c r="H525" s="2">
        <v>46216.291666666657</v>
      </c>
      <c r="I525">
        <v>12</v>
      </c>
      <c r="J525" t="s">
        <v>42</v>
      </c>
      <c r="K525" t="s">
        <v>102</v>
      </c>
    </row>
    <row r="526" spans="1:11" x14ac:dyDescent="0.2">
      <c r="A526" t="s">
        <v>632</v>
      </c>
      <c r="B526" s="1">
        <v>46215</v>
      </c>
      <c r="C526" t="s">
        <v>207</v>
      </c>
      <c r="D526" t="s">
        <v>101</v>
      </c>
      <c r="E526" t="s">
        <v>36</v>
      </c>
      <c r="F526" t="s">
        <v>23</v>
      </c>
      <c r="G526" s="2">
        <v>46215.291666666657</v>
      </c>
      <c r="H526" s="2">
        <v>46215.791666666657</v>
      </c>
      <c r="I526">
        <v>12</v>
      </c>
      <c r="J526" t="s">
        <v>45</v>
      </c>
      <c r="K526" t="s">
        <v>102</v>
      </c>
    </row>
    <row r="527" spans="1:11" x14ac:dyDescent="0.2">
      <c r="A527" t="s">
        <v>633</v>
      </c>
      <c r="B527" s="1">
        <v>46215</v>
      </c>
      <c r="C527" t="s">
        <v>207</v>
      </c>
      <c r="D527" t="s">
        <v>101</v>
      </c>
      <c r="E527" t="s">
        <v>36</v>
      </c>
      <c r="F527" t="s">
        <v>30</v>
      </c>
      <c r="G527" s="2">
        <v>46215.791666666657</v>
      </c>
      <c r="H527" s="2">
        <v>46216.291666666657</v>
      </c>
      <c r="I527">
        <v>12</v>
      </c>
      <c r="J527" t="s">
        <v>43</v>
      </c>
      <c r="K527" t="s">
        <v>102</v>
      </c>
    </row>
    <row r="528" spans="1:11" x14ac:dyDescent="0.2">
      <c r="A528" t="s">
        <v>634</v>
      </c>
      <c r="B528" s="1">
        <v>46215</v>
      </c>
      <c r="C528" t="s">
        <v>207</v>
      </c>
      <c r="D528" t="s">
        <v>101</v>
      </c>
      <c r="E528" t="s">
        <v>14</v>
      </c>
      <c r="F528" t="s">
        <v>23</v>
      </c>
      <c r="G528" s="2">
        <v>46215.291666666657</v>
      </c>
      <c r="H528" s="2">
        <v>46215.791666666657</v>
      </c>
      <c r="I528">
        <v>12</v>
      </c>
      <c r="J528" t="s">
        <v>53</v>
      </c>
      <c r="K528" t="s">
        <v>102</v>
      </c>
    </row>
    <row r="529" spans="1:11" x14ac:dyDescent="0.2">
      <c r="A529" t="s">
        <v>635</v>
      </c>
      <c r="B529" s="1">
        <v>46215</v>
      </c>
      <c r="C529" t="s">
        <v>207</v>
      </c>
      <c r="D529" t="s">
        <v>101</v>
      </c>
      <c r="E529" t="s">
        <v>14</v>
      </c>
      <c r="F529" t="s">
        <v>30</v>
      </c>
      <c r="G529" s="2">
        <v>46215.791666666657</v>
      </c>
      <c r="H529" s="2">
        <v>46216.291666666657</v>
      </c>
      <c r="I529">
        <v>12</v>
      </c>
      <c r="J529" t="s">
        <v>54</v>
      </c>
      <c r="K529" t="s">
        <v>102</v>
      </c>
    </row>
    <row r="530" spans="1:11" x14ac:dyDescent="0.2">
      <c r="A530" t="s">
        <v>636</v>
      </c>
      <c r="B530" s="1">
        <v>46215</v>
      </c>
      <c r="C530" t="s">
        <v>207</v>
      </c>
      <c r="D530" t="s">
        <v>101</v>
      </c>
      <c r="E530" t="s">
        <v>38</v>
      </c>
      <c r="F530" t="s">
        <v>23</v>
      </c>
      <c r="G530" s="2">
        <v>46215.291666666657</v>
      </c>
      <c r="H530" s="2">
        <v>46215.791666666657</v>
      </c>
      <c r="I530">
        <v>12</v>
      </c>
      <c r="J530" t="s">
        <v>59</v>
      </c>
      <c r="K530" t="s">
        <v>102</v>
      </c>
    </row>
    <row r="531" spans="1:11" x14ac:dyDescent="0.2">
      <c r="A531" t="s">
        <v>637</v>
      </c>
      <c r="B531" s="1">
        <v>46215</v>
      </c>
      <c r="C531" t="s">
        <v>207</v>
      </c>
      <c r="D531" t="s">
        <v>101</v>
      </c>
      <c r="E531" t="s">
        <v>38</v>
      </c>
      <c r="F531" t="s">
        <v>30</v>
      </c>
      <c r="G531" s="2">
        <v>46215.791666666657</v>
      </c>
      <c r="H531" s="2">
        <v>46216.291666666657</v>
      </c>
      <c r="I531">
        <v>12</v>
      </c>
      <c r="J531" t="s">
        <v>61</v>
      </c>
      <c r="K531" t="s">
        <v>102</v>
      </c>
    </row>
    <row r="532" spans="1:11" x14ac:dyDescent="0.2">
      <c r="A532" t="s">
        <v>638</v>
      </c>
      <c r="B532" s="1">
        <v>46215</v>
      </c>
      <c r="C532" t="s">
        <v>207</v>
      </c>
      <c r="D532" t="s">
        <v>101</v>
      </c>
      <c r="E532" t="s">
        <v>29</v>
      </c>
      <c r="F532" t="s">
        <v>23</v>
      </c>
      <c r="G532" s="2">
        <v>46215.291666666657</v>
      </c>
      <c r="H532" s="2">
        <v>46215.791666666657</v>
      </c>
      <c r="I532">
        <v>12</v>
      </c>
      <c r="J532" t="s">
        <v>63</v>
      </c>
      <c r="K532" t="s">
        <v>102</v>
      </c>
    </row>
    <row r="533" spans="1:11" x14ac:dyDescent="0.2">
      <c r="A533" t="s">
        <v>639</v>
      </c>
      <c r="B533" s="1">
        <v>46215</v>
      </c>
      <c r="C533" t="s">
        <v>207</v>
      </c>
      <c r="D533" t="s">
        <v>101</v>
      </c>
      <c r="E533" t="s">
        <v>29</v>
      </c>
      <c r="F533" t="s">
        <v>30</v>
      </c>
      <c r="G533" s="2">
        <v>46215.791666666657</v>
      </c>
      <c r="H533" s="2">
        <v>46216.291666666657</v>
      </c>
      <c r="I533">
        <v>12</v>
      </c>
      <c r="J533" t="s">
        <v>66</v>
      </c>
      <c r="K533" t="s">
        <v>102</v>
      </c>
    </row>
    <row r="534" spans="1:11" x14ac:dyDescent="0.2">
      <c r="A534" t="s">
        <v>640</v>
      </c>
      <c r="B534" s="1">
        <v>46215</v>
      </c>
      <c r="C534" t="s">
        <v>207</v>
      </c>
      <c r="D534" t="s">
        <v>101</v>
      </c>
      <c r="E534" t="s">
        <v>20</v>
      </c>
      <c r="F534" t="s">
        <v>23</v>
      </c>
      <c r="G534" s="2">
        <v>46215.291666666657</v>
      </c>
      <c r="H534" s="2">
        <v>46215.791666666657</v>
      </c>
      <c r="I534">
        <v>12</v>
      </c>
      <c r="J534" t="s">
        <v>71</v>
      </c>
      <c r="K534" t="s">
        <v>102</v>
      </c>
    </row>
    <row r="535" spans="1:11" x14ac:dyDescent="0.2">
      <c r="A535" t="s">
        <v>641</v>
      </c>
      <c r="B535" s="1">
        <v>46215</v>
      </c>
      <c r="C535" t="s">
        <v>207</v>
      </c>
      <c r="D535" t="s">
        <v>101</v>
      </c>
      <c r="E535" t="s">
        <v>20</v>
      </c>
      <c r="F535" t="s">
        <v>30</v>
      </c>
      <c r="G535" s="2">
        <v>46215.791666666657</v>
      </c>
      <c r="H535" s="2">
        <v>46216.291666666657</v>
      </c>
      <c r="I535">
        <v>12</v>
      </c>
      <c r="J535" t="s">
        <v>69</v>
      </c>
      <c r="K535" t="s">
        <v>102</v>
      </c>
    </row>
    <row r="536" spans="1:11" x14ac:dyDescent="0.2">
      <c r="A536" t="s">
        <v>642</v>
      </c>
      <c r="B536" s="1">
        <v>46215</v>
      </c>
      <c r="C536" t="s">
        <v>207</v>
      </c>
      <c r="D536" t="s">
        <v>101</v>
      </c>
      <c r="E536" t="s">
        <v>72</v>
      </c>
      <c r="F536" t="s">
        <v>23</v>
      </c>
      <c r="G536" s="2">
        <v>46215.291666666657</v>
      </c>
      <c r="H536" s="2">
        <v>46215.791666666657</v>
      </c>
      <c r="I536">
        <v>12</v>
      </c>
      <c r="J536" t="s">
        <v>76</v>
      </c>
      <c r="K536" t="s">
        <v>102</v>
      </c>
    </row>
    <row r="537" spans="1:11" x14ac:dyDescent="0.2">
      <c r="A537" t="s">
        <v>643</v>
      </c>
      <c r="B537" s="1">
        <v>46215</v>
      </c>
      <c r="C537" t="s">
        <v>207</v>
      </c>
      <c r="D537" t="s">
        <v>101</v>
      </c>
      <c r="E537" t="s">
        <v>72</v>
      </c>
      <c r="F537" t="s">
        <v>30</v>
      </c>
      <c r="G537" s="2">
        <v>46215.791666666657</v>
      </c>
      <c r="H537" s="2">
        <v>46216.291666666657</v>
      </c>
      <c r="I537">
        <v>12</v>
      </c>
      <c r="J537" t="s">
        <v>75</v>
      </c>
      <c r="K537" t="s">
        <v>102</v>
      </c>
    </row>
    <row r="538" spans="1:11" x14ac:dyDescent="0.2">
      <c r="A538" t="s">
        <v>644</v>
      </c>
      <c r="B538" s="1">
        <v>46215</v>
      </c>
      <c r="C538" t="s">
        <v>207</v>
      </c>
      <c r="D538" t="s">
        <v>101</v>
      </c>
      <c r="E538" t="s">
        <v>56</v>
      </c>
      <c r="F538" t="s">
        <v>23</v>
      </c>
      <c r="G538" s="2">
        <v>46215.291666666657</v>
      </c>
      <c r="H538" s="2">
        <v>46215.791666666657</v>
      </c>
      <c r="I538">
        <v>12</v>
      </c>
      <c r="J538" t="s">
        <v>81</v>
      </c>
      <c r="K538" t="s">
        <v>102</v>
      </c>
    </row>
    <row r="539" spans="1:11" x14ac:dyDescent="0.2">
      <c r="A539" t="s">
        <v>645</v>
      </c>
      <c r="B539" s="1">
        <v>46215</v>
      </c>
      <c r="C539" t="s">
        <v>207</v>
      </c>
      <c r="D539" t="s">
        <v>101</v>
      </c>
      <c r="E539" t="s">
        <v>56</v>
      </c>
      <c r="F539" t="s">
        <v>30</v>
      </c>
      <c r="G539" s="2">
        <v>46215.791666666657</v>
      </c>
      <c r="H539" s="2">
        <v>46216.291666666657</v>
      </c>
      <c r="I539">
        <v>12</v>
      </c>
      <c r="J539" t="s">
        <v>80</v>
      </c>
      <c r="K539" t="s">
        <v>102</v>
      </c>
    </row>
    <row r="540" spans="1:11" x14ac:dyDescent="0.2">
      <c r="A540" t="s">
        <v>646</v>
      </c>
      <c r="B540" s="1">
        <v>46215</v>
      </c>
      <c r="C540" t="s">
        <v>207</v>
      </c>
      <c r="D540" t="s">
        <v>101</v>
      </c>
      <c r="E540" t="s">
        <v>50</v>
      </c>
      <c r="F540" t="s">
        <v>23</v>
      </c>
      <c r="G540" s="2">
        <v>46215.291666666657</v>
      </c>
      <c r="H540" s="2">
        <v>46215.791666666657</v>
      </c>
      <c r="I540">
        <v>12</v>
      </c>
      <c r="J540" t="s">
        <v>85</v>
      </c>
      <c r="K540" t="s">
        <v>102</v>
      </c>
    </row>
    <row r="541" spans="1:11" x14ac:dyDescent="0.2">
      <c r="A541" t="s">
        <v>647</v>
      </c>
      <c r="B541" s="1">
        <v>46215</v>
      </c>
      <c r="C541" t="s">
        <v>207</v>
      </c>
      <c r="D541" t="s">
        <v>101</v>
      </c>
      <c r="E541" t="s">
        <v>50</v>
      </c>
      <c r="F541" t="s">
        <v>30</v>
      </c>
      <c r="G541" s="2">
        <v>46215.791666666657</v>
      </c>
      <c r="H541" s="2">
        <v>46216.291666666657</v>
      </c>
      <c r="I541">
        <v>12</v>
      </c>
      <c r="J541" t="s">
        <v>88</v>
      </c>
      <c r="K541" t="s">
        <v>102</v>
      </c>
    </row>
    <row r="542" spans="1:11" x14ac:dyDescent="0.2">
      <c r="A542" t="s">
        <v>648</v>
      </c>
      <c r="B542" s="1">
        <v>46216</v>
      </c>
      <c r="C542" t="s">
        <v>228</v>
      </c>
      <c r="D542" t="s">
        <v>101</v>
      </c>
      <c r="E542" t="s">
        <v>32</v>
      </c>
      <c r="F542" t="s">
        <v>23</v>
      </c>
      <c r="G542" s="2">
        <v>46216.291666666657</v>
      </c>
      <c r="H542" s="2">
        <v>46216.791666666657</v>
      </c>
      <c r="I542">
        <v>12</v>
      </c>
      <c r="J542" t="s">
        <v>19</v>
      </c>
      <c r="K542" t="s">
        <v>102</v>
      </c>
    </row>
    <row r="543" spans="1:11" x14ac:dyDescent="0.2">
      <c r="A543" t="s">
        <v>649</v>
      </c>
      <c r="B543" s="1">
        <v>46216</v>
      </c>
      <c r="C543" t="s">
        <v>228</v>
      </c>
      <c r="D543" t="s">
        <v>101</v>
      </c>
      <c r="E543" t="s">
        <v>32</v>
      </c>
      <c r="F543" t="s">
        <v>30</v>
      </c>
      <c r="G543" s="2">
        <v>46216.791666666657</v>
      </c>
      <c r="H543" s="2">
        <v>46217.291666666657</v>
      </c>
      <c r="I543">
        <v>12</v>
      </c>
      <c r="J543" t="s">
        <v>13</v>
      </c>
      <c r="K543" t="s">
        <v>102</v>
      </c>
    </row>
    <row r="544" spans="1:11" x14ac:dyDescent="0.2">
      <c r="A544" t="s">
        <v>650</v>
      </c>
      <c r="B544" s="1">
        <v>46216</v>
      </c>
      <c r="C544" t="s">
        <v>228</v>
      </c>
      <c r="D544" t="s">
        <v>101</v>
      </c>
      <c r="E544" t="s">
        <v>48</v>
      </c>
      <c r="F544" t="s">
        <v>23</v>
      </c>
      <c r="G544" s="2">
        <v>46216.291666666657</v>
      </c>
      <c r="H544" s="2">
        <v>46216.791666666657</v>
      </c>
      <c r="I544">
        <v>12</v>
      </c>
      <c r="J544" t="s">
        <v>42</v>
      </c>
      <c r="K544" t="s">
        <v>102</v>
      </c>
    </row>
    <row r="545" spans="1:11" x14ac:dyDescent="0.2">
      <c r="A545" t="s">
        <v>651</v>
      </c>
      <c r="B545" s="1">
        <v>46216</v>
      </c>
      <c r="C545" t="s">
        <v>228</v>
      </c>
      <c r="D545" t="s">
        <v>101</v>
      </c>
      <c r="E545" t="s">
        <v>48</v>
      </c>
      <c r="F545" t="s">
        <v>30</v>
      </c>
      <c r="G545" s="2">
        <v>46216.791666666657</v>
      </c>
      <c r="H545" s="2">
        <v>46217.291666666657</v>
      </c>
      <c r="I545">
        <v>12</v>
      </c>
      <c r="J545" t="s">
        <v>37</v>
      </c>
      <c r="K545" t="s">
        <v>102</v>
      </c>
    </row>
    <row r="546" spans="1:11" x14ac:dyDescent="0.2">
      <c r="A546" t="s">
        <v>652</v>
      </c>
      <c r="B546" s="1">
        <v>46216</v>
      </c>
      <c r="C546" t="s">
        <v>228</v>
      </c>
      <c r="D546" t="s">
        <v>101</v>
      </c>
      <c r="E546" t="s">
        <v>36</v>
      </c>
      <c r="F546" t="s">
        <v>23</v>
      </c>
      <c r="G546" s="2">
        <v>46216.291666666657</v>
      </c>
      <c r="H546" s="2">
        <v>46216.791666666657</v>
      </c>
      <c r="I546">
        <v>12</v>
      </c>
      <c r="J546" t="s">
        <v>47</v>
      </c>
      <c r="K546" t="s">
        <v>102</v>
      </c>
    </row>
    <row r="547" spans="1:11" x14ac:dyDescent="0.2">
      <c r="A547" t="s">
        <v>653</v>
      </c>
      <c r="B547" s="1">
        <v>46216</v>
      </c>
      <c r="C547" t="s">
        <v>228</v>
      </c>
      <c r="D547" t="s">
        <v>101</v>
      </c>
      <c r="E547" t="s">
        <v>36</v>
      </c>
      <c r="F547" t="s">
        <v>30</v>
      </c>
      <c r="G547" s="2">
        <v>46216.791666666657</v>
      </c>
      <c r="H547" s="2">
        <v>46217.291666666657</v>
      </c>
      <c r="I547">
        <v>12</v>
      </c>
      <c r="J547" t="s">
        <v>44</v>
      </c>
      <c r="K547" t="s">
        <v>102</v>
      </c>
    </row>
    <row r="548" spans="1:11" x14ac:dyDescent="0.2">
      <c r="A548" t="s">
        <v>654</v>
      </c>
      <c r="B548" s="1">
        <v>46216</v>
      </c>
      <c r="C548" t="s">
        <v>228</v>
      </c>
      <c r="D548" t="s">
        <v>101</v>
      </c>
      <c r="E548" t="s">
        <v>14</v>
      </c>
      <c r="F548" t="s">
        <v>23</v>
      </c>
      <c r="G548" s="2">
        <v>46216.291666666657</v>
      </c>
      <c r="H548" s="2">
        <v>46216.791666666657</v>
      </c>
      <c r="I548">
        <v>12</v>
      </c>
      <c r="J548" t="s">
        <v>54</v>
      </c>
      <c r="K548" t="s">
        <v>102</v>
      </c>
    </row>
    <row r="549" spans="1:11" x14ac:dyDescent="0.2">
      <c r="A549" t="s">
        <v>655</v>
      </c>
      <c r="B549" s="1">
        <v>46216</v>
      </c>
      <c r="C549" t="s">
        <v>228</v>
      </c>
      <c r="D549" t="s">
        <v>101</v>
      </c>
      <c r="E549" t="s">
        <v>14</v>
      </c>
      <c r="F549" t="s">
        <v>30</v>
      </c>
      <c r="G549" s="2">
        <v>46216.791666666657</v>
      </c>
      <c r="H549" s="2">
        <v>46217.291666666657</v>
      </c>
      <c r="I549">
        <v>12</v>
      </c>
      <c r="J549" t="s">
        <v>49</v>
      </c>
      <c r="K549" t="s">
        <v>102</v>
      </c>
    </row>
    <row r="550" spans="1:11" x14ac:dyDescent="0.2">
      <c r="A550" t="s">
        <v>656</v>
      </c>
      <c r="B550" s="1">
        <v>46216</v>
      </c>
      <c r="C550" t="s">
        <v>228</v>
      </c>
      <c r="D550" t="s">
        <v>101</v>
      </c>
      <c r="E550" t="s">
        <v>38</v>
      </c>
      <c r="F550" t="s">
        <v>23</v>
      </c>
      <c r="G550" s="2">
        <v>46216.291666666657</v>
      </c>
      <c r="H550" s="2">
        <v>46216.791666666657</v>
      </c>
      <c r="I550">
        <v>12</v>
      </c>
      <c r="J550" t="s">
        <v>55</v>
      </c>
      <c r="K550" t="s">
        <v>102</v>
      </c>
    </row>
    <row r="551" spans="1:11" x14ac:dyDescent="0.2">
      <c r="A551" t="s">
        <v>657</v>
      </c>
      <c r="B551" s="1">
        <v>46216</v>
      </c>
      <c r="C551" t="s">
        <v>228</v>
      </c>
      <c r="D551" t="s">
        <v>101</v>
      </c>
      <c r="E551" t="s">
        <v>38</v>
      </c>
      <c r="F551" t="s">
        <v>30</v>
      </c>
      <c r="G551" s="2">
        <v>46216.791666666657</v>
      </c>
      <c r="H551" s="2">
        <v>46217.291666666657</v>
      </c>
      <c r="I551">
        <v>12</v>
      </c>
      <c r="J551" t="s">
        <v>58</v>
      </c>
      <c r="K551" t="s">
        <v>102</v>
      </c>
    </row>
    <row r="552" spans="1:11" x14ac:dyDescent="0.2">
      <c r="A552" t="s">
        <v>658</v>
      </c>
      <c r="B552" s="1">
        <v>46216</v>
      </c>
      <c r="C552" t="s">
        <v>228</v>
      </c>
      <c r="D552" t="s">
        <v>101</v>
      </c>
      <c r="E552" t="s">
        <v>29</v>
      </c>
      <c r="F552" t="s">
        <v>23</v>
      </c>
      <c r="G552" s="2">
        <v>46216.291666666657</v>
      </c>
      <c r="H552" s="2">
        <v>46216.791666666657</v>
      </c>
      <c r="I552">
        <v>12</v>
      </c>
      <c r="J552" t="s">
        <v>62</v>
      </c>
      <c r="K552" t="s">
        <v>102</v>
      </c>
    </row>
    <row r="553" spans="1:11" x14ac:dyDescent="0.2">
      <c r="A553" t="s">
        <v>659</v>
      </c>
      <c r="B553" s="1">
        <v>46216</v>
      </c>
      <c r="C553" t="s">
        <v>228</v>
      </c>
      <c r="D553" t="s">
        <v>101</v>
      </c>
      <c r="E553" t="s">
        <v>29</v>
      </c>
      <c r="F553" t="s">
        <v>30</v>
      </c>
      <c r="G553" s="2">
        <v>46216.791666666657</v>
      </c>
      <c r="H553" s="2">
        <v>46217.291666666657</v>
      </c>
      <c r="I553">
        <v>12</v>
      </c>
      <c r="J553" t="s">
        <v>66</v>
      </c>
      <c r="K553" t="s">
        <v>102</v>
      </c>
    </row>
    <row r="554" spans="1:11" x14ac:dyDescent="0.2">
      <c r="A554" t="s">
        <v>660</v>
      </c>
      <c r="B554" s="1">
        <v>46216</v>
      </c>
      <c r="C554" t="s">
        <v>228</v>
      </c>
      <c r="D554" t="s">
        <v>101</v>
      </c>
      <c r="E554" t="s">
        <v>20</v>
      </c>
      <c r="F554" t="s">
        <v>23</v>
      </c>
      <c r="G554" s="2">
        <v>46216.291666666657</v>
      </c>
      <c r="H554" s="2">
        <v>46216.791666666657</v>
      </c>
      <c r="I554">
        <v>12</v>
      </c>
      <c r="J554" t="s">
        <v>67</v>
      </c>
      <c r="K554" t="s">
        <v>102</v>
      </c>
    </row>
    <row r="555" spans="1:11" x14ac:dyDescent="0.2">
      <c r="A555" t="s">
        <v>661</v>
      </c>
      <c r="B555" s="1">
        <v>46216</v>
      </c>
      <c r="C555" t="s">
        <v>228</v>
      </c>
      <c r="D555" t="s">
        <v>101</v>
      </c>
      <c r="E555" t="s">
        <v>20</v>
      </c>
      <c r="F555" t="s">
        <v>30</v>
      </c>
      <c r="G555" s="2">
        <v>46216.791666666657</v>
      </c>
      <c r="H555" s="2">
        <v>46217.291666666657</v>
      </c>
      <c r="I555">
        <v>12</v>
      </c>
      <c r="J555" t="s">
        <v>70</v>
      </c>
      <c r="K555" t="s">
        <v>102</v>
      </c>
    </row>
    <row r="556" spans="1:11" x14ac:dyDescent="0.2">
      <c r="A556" t="s">
        <v>662</v>
      </c>
      <c r="B556" s="1">
        <v>46216</v>
      </c>
      <c r="C556" t="s">
        <v>228</v>
      </c>
      <c r="D556" t="s">
        <v>101</v>
      </c>
      <c r="E556" t="s">
        <v>72</v>
      </c>
      <c r="F556" t="s">
        <v>23</v>
      </c>
      <c r="G556" s="2">
        <v>46216.291666666657</v>
      </c>
      <c r="H556" s="2">
        <v>46216.791666666657</v>
      </c>
      <c r="I556">
        <v>12</v>
      </c>
      <c r="J556" t="s">
        <v>76</v>
      </c>
      <c r="K556" t="s">
        <v>102</v>
      </c>
    </row>
    <row r="557" spans="1:11" x14ac:dyDescent="0.2">
      <c r="A557" t="s">
        <v>663</v>
      </c>
      <c r="B557" s="1">
        <v>46216</v>
      </c>
      <c r="C557" t="s">
        <v>228</v>
      </c>
      <c r="D557" t="s">
        <v>101</v>
      </c>
      <c r="E557" t="s">
        <v>72</v>
      </c>
      <c r="F557" t="s">
        <v>30</v>
      </c>
      <c r="G557" s="2">
        <v>46216.791666666657</v>
      </c>
      <c r="H557" s="2">
        <v>46217.291666666657</v>
      </c>
      <c r="I557">
        <v>12</v>
      </c>
      <c r="J557" t="s">
        <v>75</v>
      </c>
      <c r="K557" t="s">
        <v>102</v>
      </c>
    </row>
    <row r="558" spans="1:11" x14ac:dyDescent="0.2">
      <c r="A558" t="s">
        <v>664</v>
      </c>
      <c r="B558" s="1">
        <v>46216</v>
      </c>
      <c r="C558" t="s">
        <v>228</v>
      </c>
      <c r="D558" t="s">
        <v>101</v>
      </c>
      <c r="E558" t="s">
        <v>56</v>
      </c>
      <c r="F558" t="s">
        <v>23</v>
      </c>
      <c r="G558" s="2">
        <v>46216.291666666657</v>
      </c>
      <c r="H558" s="2">
        <v>46216.791666666657</v>
      </c>
      <c r="I558">
        <v>12</v>
      </c>
      <c r="J558" t="s">
        <v>81</v>
      </c>
      <c r="K558" t="s">
        <v>102</v>
      </c>
    </row>
    <row r="559" spans="1:11" x14ac:dyDescent="0.2">
      <c r="A559" t="s">
        <v>665</v>
      </c>
      <c r="B559" s="1">
        <v>46216</v>
      </c>
      <c r="C559" t="s">
        <v>228</v>
      </c>
      <c r="D559" t="s">
        <v>101</v>
      </c>
      <c r="E559" t="s">
        <v>56</v>
      </c>
      <c r="F559" t="s">
        <v>30</v>
      </c>
      <c r="G559" s="2">
        <v>46216.791666666657</v>
      </c>
      <c r="H559" s="2">
        <v>46217.291666666657</v>
      </c>
      <c r="I559">
        <v>12</v>
      </c>
      <c r="J559" t="s">
        <v>79</v>
      </c>
      <c r="K559" t="s">
        <v>102</v>
      </c>
    </row>
    <row r="560" spans="1:11" x14ac:dyDescent="0.2">
      <c r="A560" t="s">
        <v>666</v>
      </c>
      <c r="B560" s="1">
        <v>46216</v>
      </c>
      <c r="C560" t="s">
        <v>228</v>
      </c>
      <c r="D560" t="s">
        <v>101</v>
      </c>
      <c r="E560" t="s">
        <v>50</v>
      </c>
      <c r="F560" t="s">
        <v>23</v>
      </c>
      <c r="G560" s="2">
        <v>46216.291666666657</v>
      </c>
      <c r="H560" s="2">
        <v>46216.791666666657</v>
      </c>
      <c r="I560">
        <v>12</v>
      </c>
      <c r="J560" t="s">
        <v>87</v>
      </c>
      <c r="K560" t="s">
        <v>102</v>
      </c>
    </row>
    <row r="561" spans="1:11" x14ac:dyDescent="0.2">
      <c r="A561" t="s">
        <v>667</v>
      </c>
      <c r="B561" s="1">
        <v>46216</v>
      </c>
      <c r="C561" t="s">
        <v>228</v>
      </c>
      <c r="D561" t="s">
        <v>101</v>
      </c>
      <c r="E561" t="s">
        <v>50</v>
      </c>
      <c r="F561" t="s">
        <v>30</v>
      </c>
      <c r="G561" s="2">
        <v>46216.791666666657</v>
      </c>
      <c r="H561" s="2">
        <v>46217.291666666657</v>
      </c>
      <c r="I561">
        <v>12</v>
      </c>
      <c r="J561" t="s">
        <v>86</v>
      </c>
      <c r="K561" t="s">
        <v>102</v>
      </c>
    </row>
    <row r="562" spans="1:11" x14ac:dyDescent="0.2">
      <c r="A562" t="s">
        <v>668</v>
      </c>
      <c r="B562" s="1">
        <v>46217</v>
      </c>
      <c r="C562" t="s">
        <v>100</v>
      </c>
      <c r="D562" t="s">
        <v>101</v>
      </c>
      <c r="E562" t="s">
        <v>32</v>
      </c>
      <c r="F562" t="s">
        <v>23</v>
      </c>
      <c r="G562" s="2">
        <v>46217.291666666657</v>
      </c>
      <c r="H562" s="2">
        <v>46217.791666666657</v>
      </c>
      <c r="I562">
        <v>12</v>
      </c>
      <c r="J562" t="s">
        <v>13</v>
      </c>
      <c r="K562" t="s">
        <v>102</v>
      </c>
    </row>
    <row r="563" spans="1:11" x14ac:dyDescent="0.2">
      <c r="A563" t="s">
        <v>669</v>
      </c>
      <c r="B563" s="1">
        <v>46217</v>
      </c>
      <c r="C563" t="s">
        <v>100</v>
      </c>
      <c r="D563" t="s">
        <v>101</v>
      </c>
      <c r="E563" t="s">
        <v>32</v>
      </c>
      <c r="F563" t="s">
        <v>30</v>
      </c>
      <c r="G563" s="2">
        <v>46217.791666666657</v>
      </c>
      <c r="H563" s="2">
        <v>46218.291666666657</v>
      </c>
      <c r="I563">
        <v>12</v>
      </c>
      <c r="J563" t="s">
        <v>31</v>
      </c>
      <c r="K563" t="s">
        <v>102</v>
      </c>
    </row>
    <row r="564" spans="1:11" x14ac:dyDescent="0.2">
      <c r="A564" t="s">
        <v>670</v>
      </c>
      <c r="B564" s="1">
        <v>46217</v>
      </c>
      <c r="C564" t="s">
        <v>100</v>
      </c>
      <c r="D564" t="s">
        <v>101</v>
      </c>
      <c r="E564" t="s">
        <v>48</v>
      </c>
      <c r="F564" t="s">
        <v>23</v>
      </c>
      <c r="G564" s="2">
        <v>46217.291666666657</v>
      </c>
      <c r="H564" s="2">
        <v>46217.791666666657</v>
      </c>
      <c r="I564">
        <v>12</v>
      </c>
      <c r="J564" t="s">
        <v>40</v>
      </c>
      <c r="K564" t="s">
        <v>102</v>
      </c>
    </row>
    <row r="565" spans="1:11" x14ac:dyDescent="0.2">
      <c r="A565" t="s">
        <v>671</v>
      </c>
      <c r="B565" s="1">
        <v>46217</v>
      </c>
      <c r="C565" t="s">
        <v>100</v>
      </c>
      <c r="D565" t="s">
        <v>101</v>
      </c>
      <c r="E565" t="s">
        <v>48</v>
      </c>
      <c r="F565" t="s">
        <v>30</v>
      </c>
      <c r="G565" s="2">
        <v>46217.791666666657</v>
      </c>
      <c r="H565" s="2">
        <v>46218.291666666657</v>
      </c>
      <c r="I565">
        <v>12</v>
      </c>
      <c r="J565" t="s">
        <v>35</v>
      </c>
      <c r="K565" t="s">
        <v>102</v>
      </c>
    </row>
    <row r="566" spans="1:11" x14ac:dyDescent="0.2">
      <c r="A566" t="s">
        <v>672</v>
      </c>
      <c r="B566" s="1">
        <v>46217</v>
      </c>
      <c r="C566" t="s">
        <v>100</v>
      </c>
      <c r="D566" t="s">
        <v>101</v>
      </c>
      <c r="E566" t="s">
        <v>36</v>
      </c>
      <c r="F566" t="s">
        <v>23</v>
      </c>
      <c r="G566" s="2">
        <v>46217.291666666657</v>
      </c>
      <c r="H566" s="2">
        <v>46217.791666666657</v>
      </c>
      <c r="I566">
        <v>12</v>
      </c>
      <c r="J566" t="s">
        <v>45</v>
      </c>
      <c r="K566" t="s">
        <v>102</v>
      </c>
    </row>
    <row r="567" spans="1:11" x14ac:dyDescent="0.2">
      <c r="A567" t="s">
        <v>673</v>
      </c>
      <c r="B567" s="1">
        <v>46217</v>
      </c>
      <c r="C567" t="s">
        <v>100</v>
      </c>
      <c r="D567" t="s">
        <v>101</v>
      </c>
      <c r="E567" t="s">
        <v>36</v>
      </c>
      <c r="F567" t="s">
        <v>30</v>
      </c>
      <c r="G567" s="2">
        <v>46217.791666666657</v>
      </c>
      <c r="H567" s="2">
        <v>46218.291666666657</v>
      </c>
      <c r="I567">
        <v>12</v>
      </c>
      <c r="J567" t="s">
        <v>43</v>
      </c>
      <c r="K567" t="s">
        <v>102</v>
      </c>
    </row>
    <row r="568" spans="1:11" x14ac:dyDescent="0.2">
      <c r="A568" t="s">
        <v>674</v>
      </c>
      <c r="B568" s="1">
        <v>46217</v>
      </c>
      <c r="C568" t="s">
        <v>100</v>
      </c>
      <c r="D568" t="s">
        <v>101</v>
      </c>
      <c r="E568" t="s">
        <v>14</v>
      </c>
      <c r="F568" t="s">
        <v>23</v>
      </c>
      <c r="G568" s="2">
        <v>46217.291666666657</v>
      </c>
      <c r="H568" s="2">
        <v>46217.791666666657</v>
      </c>
      <c r="I568">
        <v>12</v>
      </c>
      <c r="J568" t="s">
        <v>51</v>
      </c>
      <c r="K568" t="s">
        <v>102</v>
      </c>
    </row>
    <row r="569" spans="1:11" x14ac:dyDescent="0.2">
      <c r="A569" t="s">
        <v>675</v>
      </c>
      <c r="B569" s="1">
        <v>46217</v>
      </c>
      <c r="C569" t="s">
        <v>100</v>
      </c>
      <c r="D569" t="s">
        <v>101</v>
      </c>
      <c r="E569" t="s">
        <v>14</v>
      </c>
      <c r="F569" t="s">
        <v>30</v>
      </c>
      <c r="G569" s="2">
        <v>46217.791666666657</v>
      </c>
      <c r="H569" s="2">
        <v>46218.291666666657</v>
      </c>
      <c r="I569">
        <v>12</v>
      </c>
      <c r="J569" t="s">
        <v>52</v>
      </c>
      <c r="K569" t="s">
        <v>102</v>
      </c>
    </row>
    <row r="570" spans="1:11" x14ac:dyDescent="0.2">
      <c r="A570" t="s">
        <v>676</v>
      </c>
      <c r="B570" s="1">
        <v>46217</v>
      </c>
      <c r="C570" t="s">
        <v>100</v>
      </c>
      <c r="D570" t="s">
        <v>101</v>
      </c>
      <c r="E570" t="s">
        <v>38</v>
      </c>
      <c r="F570" t="s">
        <v>23</v>
      </c>
      <c r="G570" s="2">
        <v>46217.291666666657</v>
      </c>
      <c r="H570" s="2">
        <v>46217.791666666657</v>
      </c>
      <c r="I570">
        <v>12</v>
      </c>
      <c r="J570" t="s">
        <v>59</v>
      </c>
      <c r="K570" t="s">
        <v>102</v>
      </c>
    </row>
    <row r="571" spans="1:11" x14ac:dyDescent="0.2">
      <c r="A571" t="s">
        <v>677</v>
      </c>
      <c r="B571" s="1">
        <v>46217</v>
      </c>
      <c r="C571" t="s">
        <v>100</v>
      </c>
      <c r="D571" t="s">
        <v>101</v>
      </c>
      <c r="E571" t="s">
        <v>38</v>
      </c>
      <c r="F571" t="s">
        <v>30</v>
      </c>
      <c r="G571" s="2">
        <v>46217.791666666657</v>
      </c>
      <c r="H571" s="2">
        <v>46218.291666666657</v>
      </c>
      <c r="I571">
        <v>12</v>
      </c>
      <c r="J571" t="s">
        <v>61</v>
      </c>
      <c r="K571" t="s">
        <v>102</v>
      </c>
    </row>
    <row r="572" spans="1:11" x14ac:dyDescent="0.2">
      <c r="A572" t="s">
        <v>678</v>
      </c>
      <c r="B572" s="1">
        <v>46217</v>
      </c>
      <c r="C572" t="s">
        <v>100</v>
      </c>
      <c r="D572" t="s">
        <v>101</v>
      </c>
      <c r="E572" t="s">
        <v>29</v>
      </c>
      <c r="F572" t="s">
        <v>23</v>
      </c>
      <c r="G572" s="2">
        <v>46217.291666666657</v>
      </c>
      <c r="H572" s="2">
        <v>46217.791666666657</v>
      </c>
      <c r="I572">
        <v>12</v>
      </c>
      <c r="J572" t="s">
        <v>62</v>
      </c>
      <c r="K572" t="s">
        <v>102</v>
      </c>
    </row>
    <row r="573" spans="1:11" x14ac:dyDescent="0.2">
      <c r="A573" t="s">
        <v>679</v>
      </c>
      <c r="B573" s="1">
        <v>46217</v>
      </c>
      <c r="C573" t="s">
        <v>100</v>
      </c>
      <c r="D573" t="s">
        <v>101</v>
      </c>
      <c r="E573" t="s">
        <v>29</v>
      </c>
      <c r="F573" t="s">
        <v>30</v>
      </c>
      <c r="G573" s="2">
        <v>46217.791666666657</v>
      </c>
      <c r="H573" s="2">
        <v>46218.291666666657</v>
      </c>
      <c r="I573">
        <v>12</v>
      </c>
      <c r="J573" t="s">
        <v>63</v>
      </c>
      <c r="K573" t="s">
        <v>102</v>
      </c>
    </row>
    <row r="574" spans="1:11" x14ac:dyDescent="0.2">
      <c r="A574" t="s">
        <v>680</v>
      </c>
      <c r="B574" s="1">
        <v>46217</v>
      </c>
      <c r="C574" t="s">
        <v>100</v>
      </c>
      <c r="D574" t="s">
        <v>101</v>
      </c>
      <c r="E574" t="s">
        <v>20</v>
      </c>
      <c r="F574" t="s">
        <v>23</v>
      </c>
      <c r="G574" s="2">
        <v>46217.291666666657</v>
      </c>
      <c r="H574" s="2">
        <v>46217.791666666657</v>
      </c>
      <c r="I574">
        <v>12</v>
      </c>
      <c r="J574" t="s">
        <v>68</v>
      </c>
      <c r="K574" t="s">
        <v>102</v>
      </c>
    </row>
    <row r="575" spans="1:11" x14ac:dyDescent="0.2">
      <c r="A575" t="s">
        <v>681</v>
      </c>
      <c r="B575" s="1">
        <v>46217</v>
      </c>
      <c r="C575" t="s">
        <v>100</v>
      </c>
      <c r="D575" t="s">
        <v>101</v>
      </c>
      <c r="E575" t="s">
        <v>20</v>
      </c>
      <c r="F575" t="s">
        <v>30</v>
      </c>
      <c r="G575" s="2">
        <v>46217.791666666657</v>
      </c>
      <c r="H575" s="2">
        <v>46218.291666666657</v>
      </c>
      <c r="I575">
        <v>12</v>
      </c>
      <c r="J575" t="s">
        <v>70</v>
      </c>
      <c r="K575" t="s">
        <v>102</v>
      </c>
    </row>
    <row r="576" spans="1:11" x14ac:dyDescent="0.2">
      <c r="A576" t="s">
        <v>682</v>
      </c>
      <c r="B576" s="1">
        <v>46217</v>
      </c>
      <c r="C576" t="s">
        <v>100</v>
      </c>
      <c r="D576" t="s">
        <v>101</v>
      </c>
      <c r="E576" t="s">
        <v>72</v>
      </c>
      <c r="F576" t="s">
        <v>23</v>
      </c>
      <c r="G576" s="2">
        <v>46217.291666666657</v>
      </c>
      <c r="H576" s="2">
        <v>46217.791666666657</v>
      </c>
      <c r="I576">
        <v>12</v>
      </c>
      <c r="J576" t="s">
        <v>74</v>
      </c>
      <c r="K576" t="s">
        <v>102</v>
      </c>
    </row>
    <row r="577" spans="1:11" x14ac:dyDescent="0.2">
      <c r="A577" t="s">
        <v>683</v>
      </c>
      <c r="B577" s="1">
        <v>46217</v>
      </c>
      <c r="C577" t="s">
        <v>100</v>
      </c>
      <c r="D577" t="s">
        <v>101</v>
      </c>
      <c r="E577" t="s">
        <v>72</v>
      </c>
      <c r="F577" t="s">
        <v>30</v>
      </c>
      <c r="G577" s="2">
        <v>46217.791666666657</v>
      </c>
      <c r="H577" s="2">
        <v>46218.291666666657</v>
      </c>
      <c r="I577">
        <v>12</v>
      </c>
      <c r="J577" t="s">
        <v>76</v>
      </c>
      <c r="K577" t="s">
        <v>102</v>
      </c>
    </row>
    <row r="578" spans="1:11" x14ac:dyDescent="0.2">
      <c r="A578" t="s">
        <v>684</v>
      </c>
      <c r="B578" s="1">
        <v>46217</v>
      </c>
      <c r="C578" t="s">
        <v>100</v>
      </c>
      <c r="D578" t="s">
        <v>101</v>
      </c>
      <c r="E578" t="s">
        <v>56</v>
      </c>
      <c r="F578" t="s">
        <v>23</v>
      </c>
      <c r="G578" s="2">
        <v>46217.291666666657</v>
      </c>
      <c r="H578" s="2">
        <v>46217.791666666657</v>
      </c>
      <c r="I578">
        <v>12</v>
      </c>
      <c r="J578" t="s">
        <v>81</v>
      </c>
      <c r="K578" t="s">
        <v>102</v>
      </c>
    </row>
    <row r="579" spans="1:11" x14ac:dyDescent="0.2">
      <c r="A579" t="s">
        <v>685</v>
      </c>
      <c r="B579" s="1">
        <v>46217</v>
      </c>
      <c r="C579" t="s">
        <v>100</v>
      </c>
      <c r="D579" t="s">
        <v>101</v>
      </c>
      <c r="E579" t="s">
        <v>56</v>
      </c>
      <c r="F579" t="s">
        <v>30</v>
      </c>
      <c r="G579" s="2">
        <v>46217.791666666657</v>
      </c>
      <c r="H579" s="2">
        <v>46218.291666666657</v>
      </c>
      <c r="I579">
        <v>12</v>
      </c>
      <c r="J579" t="s">
        <v>79</v>
      </c>
      <c r="K579" t="s">
        <v>102</v>
      </c>
    </row>
    <row r="580" spans="1:11" x14ac:dyDescent="0.2">
      <c r="A580" t="s">
        <v>686</v>
      </c>
      <c r="B580" s="1">
        <v>46217</v>
      </c>
      <c r="C580" t="s">
        <v>100</v>
      </c>
      <c r="D580" t="s">
        <v>101</v>
      </c>
      <c r="E580" t="s">
        <v>50</v>
      </c>
      <c r="F580" t="s">
        <v>23</v>
      </c>
      <c r="G580" s="2">
        <v>46217.291666666657</v>
      </c>
      <c r="H580" s="2">
        <v>46217.791666666657</v>
      </c>
      <c r="I580">
        <v>12</v>
      </c>
      <c r="J580" t="s">
        <v>84</v>
      </c>
      <c r="K580" t="s">
        <v>102</v>
      </c>
    </row>
    <row r="581" spans="1:11" x14ac:dyDescent="0.2">
      <c r="A581" t="s">
        <v>687</v>
      </c>
      <c r="B581" s="1">
        <v>46217</v>
      </c>
      <c r="C581" t="s">
        <v>100</v>
      </c>
      <c r="D581" t="s">
        <v>101</v>
      </c>
      <c r="E581" t="s">
        <v>50</v>
      </c>
      <c r="F581" t="s">
        <v>30</v>
      </c>
      <c r="G581" s="2">
        <v>46217.791666666657</v>
      </c>
      <c r="H581" s="2">
        <v>46218.291666666657</v>
      </c>
      <c r="I581">
        <v>12</v>
      </c>
      <c r="J581" t="s">
        <v>86</v>
      </c>
      <c r="K581" t="s">
        <v>102</v>
      </c>
    </row>
    <row r="582" spans="1:11" x14ac:dyDescent="0.2">
      <c r="A582" t="s">
        <v>688</v>
      </c>
      <c r="B582" s="1">
        <v>46218</v>
      </c>
      <c r="C582" t="s">
        <v>123</v>
      </c>
      <c r="D582" t="s">
        <v>101</v>
      </c>
      <c r="E582" t="s">
        <v>32</v>
      </c>
      <c r="F582" t="s">
        <v>23</v>
      </c>
      <c r="G582" s="2">
        <v>46218.291666666657</v>
      </c>
      <c r="H582" s="2">
        <v>46218.791666666657</v>
      </c>
      <c r="I582">
        <v>12</v>
      </c>
      <c r="J582" t="s">
        <v>13</v>
      </c>
      <c r="K582" t="s">
        <v>102</v>
      </c>
    </row>
    <row r="583" spans="1:11" x14ac:dyDescent="0.2">
      <c r="A583" t="s">
        <v>689</v>
      </c>
      <c r="B583" s="1">
        <v>46218</v>
      </c>
      <c r="C583" t="s">
        <v>123</v>
      </c>
      <c r="D583" t="s">
        <v>101</v>
      </c>
      <c r="E583" t="s">
        <v>32</v>
      </c>
      <c r="F583" t="s">
        <v>30</v>
      </c>
      <c r="G583" s="2">
        <v>46218.791666666657</v>
      </c>
      <c r="H583" s="2">
        <v>46219.291666666657</v>
      </c>
      <c r="I583">
        <v>12</v>
      </c>
      <c r="J583" t="s">
        <v>31</v>
      </c>
      <c r="K583" t="s">
        <v>102</v>
      </c>
    </row>
    <row r="584" spans="1:11" x14ac:dyDescent="0.2">
      <c r="A584" t="s">
        <v>690</v>
      </c>
      <c r="B584" s="1">
        <v>46218</v>
      </c>
      <c r="C584" t="s">
        <v>123</v>
      </c>
      <c r="D584" t="s">
        <v>101</v>
      </c>
      <c r="E584" t="s">
        <v>48</v>
      </c>
      <c r="F584" t="s">
        <v>23</v>
      </c>
      <c r="G584" s="2">
        <v>46218.291666666657</v>
      </c>
      <c r="H584" s="2">
        <v>46218.791666666657</v>
      </c>
      <c r="I584">
        <v>12</v>
      </c>
      <c r="J584" t="s">
        <v>37</v>
      </c>
      <c r="K584" t="s">
        <v>102</v>
      </c>
    </row>
    <row r="585" spans="1:11" x14ac:dyDescent="0.2">
      <c r="A585" t="s">
        <v>691</v>
      </c>
      <c r="B585" s="1">
        <v>46218</v>
      </c>
      <c r="C585" t="s">
        <v>123</v>
      </c>
      <c r="D585" t="s">
        <v>101</v>
      </c>
      <c r="E585" t="s">
        <v>48</v>
      </c>
      <c r="F585" t="s">
        <v>30</v>
      </c>
      <c r="G585" s="2">
        <v>46218.791666666657</v>
      </c>
      <c r="H585" s="2">
        <v>46219.291666666657</v>
      </c>
      <c r="I585">
        <v>12</v>
      </c>
      <c r="J585" t="s">
        <v>40</v>
      </c>
      <c r="K585" t="s">
        <v>102</v>
      </c>
    </row>
    <row r="586" spans="1:11" x14ac:dyDescent="0.2">
      <c r="A586" t="s">
        <v>692</v>
      </c>
      <c r="B586" s="1">
        <v>46218</v>
      </c>
      <c r="C586" t="s">
        <v>123</v>
      </c>
      <c r="D586" t="s">
        <v>101</v>
      </c>
      <c r="E586" t="s">
        <v>36</v>
      </c>
      <c r="F586" t="s">
        <v>23</v>
      </c>
      <c r="G586" s="2">
        <v>46218.291666666657</v>
      </c>
      <c r="H586" s="2">
        <v>46218.791666666657</v>
      </c>
      <c r="I586">
        <v>12</v>
      </c>
      <c r="J586" t="s">
        <v>43</v>
      </c>
      <c r="K586" t="s">
        <v>102</v>
      </c>
    </row>
    <row r="587" spans="1:11" x14ac:dyDescent="0.2">
      <c r="A587" t="s">
        <v>693</v>
      </c>
      <c r="B587" s="1">
        <v>46218</v>
      </c>
      <c r="C587" t="s">
        <v>123</v>
      </c>
      <c r="D587" t="s">
        <v>101</v>
      </c>
      <c r="E587" t="s">
        <v>36</v>
      </c>
      <c r="F587" t="s">
        <v>30</v>
      </c>
      <c r="G587" s="2">
        <v>46218.791666666657</v>
      </c>
      <c r="H587" s="2">
        <v>46219.291666666657</v>
      </c>
      <c r="I587">
        <v>12</v>
      </c>
      <c r="J587" t="s">
        <v>46</v>
      </c>
      <c r="K587" t="s">
        <v>102</v>
      </c>
    </row>
    <row r="588" spans="1:11" x14ac:dyDescent="0.2">
      <c r="A588" t="s">
        <v>694</v>
      </c>
      <c r="B588" s="1">
        <v>46218</v>
      </c>
      <c r="C588" t="s">
        <v>123</v>
      </c>
      <c r="D588" t="s">
        <v>101</v>
      </c>
      <c r="E588" t="s">
        <v>14</v>
      </c>
      <c r="F588" t="s">
        <v>23</v>
      </c>
      <c r="G588" s="2">
        <v>46218.291666666657</v>
      </c>
      <c r="H588" s="2">
        <v>46218.791666666657</v>
      </c>
      <c r="I588">
        <v>12</v>
      </c>
      <c r="J588" t="s">
        <v>51</v>
      </c>
      <c r="K588" t="s">
        <v>102</v>
      </c>
    </row>
    <row r="589" spans="1:11" x14ac:dyDescent="0.2">
      <c r="A589" t="s">
        <v>695</v>
      </c>
      <c r="B589" s="1">
        <v>46218</v>
      </c>
      <c r="C589" t="s">
        <v>123</v>
      </c>
      <c r="D589" t="s">
        <v>101</v>
      </c>
      <c r="E589" t="s">
        <v>14</v>
      </c>
      <c r="F589" t="s">
        <v>30</v>
      </c>
      <c r="G589" s="2">
        <v>46218.791666666657</v>
      </c>
      <c r="H589" s="2">
        <v>46219.291666666657</v>
      </c>
      <c r="I589">
        <v>12</v>
      </c>
      <c r="J589" t="s">
        <v>52</v>
      </c>
      <c r="K589" t="s">
        <v>102</v>
      </c>
    </row>
    <row r="590" spans="1:11" x14ac:dyDescent="0.2">
      <c r="A590" t="s">
        <v>696</v>
      </c>
      <c r="B590" s="1">
        <v>46218</v>
      </c>
      <c r="C590" t="s">
        <v>123</v>
      </c>
      <c r="D590" t="s">
        <v>101</v>
      </c>
      <c r="E590" t="s">
        <v>38</v>
      </c>
      <c r="F590" t="s">
        <v>23</v>
      </c>
      <c r="G590" s="2">
        <v>46218.291666666657</v>
      </c>
      <c r="H590" s="2">
        <v>46218.791666666657</v>
      </c>
      <c r="I590">
        <v>12</v>
      </c>
      <c r="J590" t="s">
        <v>58</v>
      </c>
      <c r="K590" t="s">
        <v>102</v>
      </c>
    </row>
    <row r="591" spans="1:11" x14ac:dyDescent="0.2">
      <c r="A591" t="s">
        <v>697</v>
      </c>
      <c r="B591" s="1">
        <v>46218</v>
      </c>
      <c r="C591" t="s">
        <v>123</v>
      </c>
      <c r="D591" t="s">
        <v>101</v>
      </c>
      <c r="E591" t="s">
        <v>38</v>
      </c>
      <c r="F591" t="s">
        <v>30</v>
      </c>
      <c r="G591" s="2">
        <v>46218.791666666657</v>
      </c>
      <c r="H591" s="2">
        <v>46219.291666666657</v>
      </c>
      <c r="I591">
        <v>12</v>
      </c>
      <c r="J591" t="s">
        <v>59</v>
      </c>
      <c r="K591" t="s">
        <v>102</v>
      </c>
    </row>
    <row r="592" spans="1:11" x14ac:dyDescent="0.2">
      <c r="A592" t="s">
        <v>698</v>
      </c>
      <c r="B592" s="1">
        <v>46218</v>
      </c>
      <c r="C592" t="s">
        <v>123</v>
      </c>
      <c r="D592" t="s">
        <v>101</v>
      </c>
      <c r="E592" t="s">
        <v>29</v>
      </c>
      <c r="F592" t="s">
        <v>23</v>
      </c>
      <c r="G592" s="2">
        <v>46218.291666666657</v>
      </c>
      <c r="H592" s="2">
        <v>46218.791666666657</v>
      </c>
      <c r="I592">
        <v>12</v>
      </c>
      <c r="J592" t="s">
        <v>63</v>
      </c>
      <c r="K592" t="s">
        <v>102</v>
      </c>
    </row>
    <row r="593" spans="1:11" x14ac:dyDescent="0.2">
      <c r="A593" t="s">
        <v>699</v>
      </c>
      <c r="B593" s="1">
        <v>46218</v>
      </c>
      <c r="C593" t="s">
        <v>123</v>
      </c>
      <c r="D593" t="s">
        <v>101</v>
      </c>
      <c r="E593" t="s">
        <v>29</v>
      </c>
      <c r="F593" t="s">
        <v>30</v>
      </c>
      <c r="G593" s="2">
        <v>46218.791666666657</v>
      </c>
      <c r="H593" s="2">
        <v>46219.291666666657</v>
      </c>
      <c r="I593">
        <v>12</v>
      </c>
      <c r="J593" t="s">
        <v>65</v>
      </c>
      <c r="K593" t="s">
        <v>102</v>
      </c>
    </row>
    <row r="594" spans="1:11" x14ac:dyDescent="0.2">
      <c r="A594" t="s">
        <v>700</v>
      </c>
      <c r="B594" s="1">
        <v>46218</v>
      </c>
      <c r="C594" t="s">
        <v>123</v>
      </c>
      <c r="D594" t="s">
        <v>101</v>
      </c>
      <c r="E594" t="s">
        <v>20</v>
      </c>
      <c r="F594" t="s">
        <v>23</v>
      </c>
      <c r="G594" s="2">
        <v>46218.291666666657</v>
      </c>
      <c r="H594" s="2">
        <v>46218.791666666657</v>
      </c>
      <c r="I594">
        <v>12</v>
      </c>
      <c r="J594" t="s">
        <v>69</v>
      </c>
      <c r="K594" t="s">
        <v>102</v>
      </c>
    </row>
    <row r="595" spans="1:11" x14ac:dyDescent="0.2">
      <c r="A595" t="s">
        <v>701</v>
      </c>
      <c r="B595" s="1">
        <v>46218</v>
      </c>
      <c r="C595" t="s">
        <v>123</v>
      </c>
      <c r="D595" t="s">
        <v>101</v>
      </c>
      <c r="E595" t="s">
        <v>20</v>
      </c>
      <c r="F595" t="s">
        <v>30</v>
      </c>
      <c r="G595" s="2">
        <v>46218.791666666657</v>
      </c>
      <c r="H595" s="2">
        <v>46219.291666666657</v>
      </c>
      <c r="I595">
        <v>12</v>
      </c>
      <c r="J595" t="s">
        <v>70</v>
      </c>
      <c r="K595" t="s">
        <v>102</v>
      </c>
    </row>
    <row r="596" spans="1:11" x14ac:dyDescent="0.2">
      <c r="A596" t="s">
        <v>702</v>
      </c>
      <c r="B596" s="1">
        <v>46218</v>
      </c>
      <c r="C596" t="s">
        <v>123</v>
      </c>
      <c r="D596" t="s">
        <v>101</v>
      </c>
      <c r="E596" t="s">
        <v>72</v>
      </c>
      <c r="F596" t="s">
        <v>23</v>
      </c>
      <c r="G596" s="2">
        <v>46218.291666666657</v>
      </c>
      <c r="H596" s="2">
        <v>46218.791666666657</v>
      </c>
      <c r="I596">
        <v>12</v>
      </c>
      <c r="J596" t="s">
        <v>74</v>
      </c>
      <c r="K596" t="s">
        <v>102</v>
      </c>
    </row>
    <row r="597" spans="1:11" x14ac:dyDescent="0.2">
      <c r="A597" t="s">
        <v>703</v>
      </c>
      <c r="B597" s="1">
        <v>46218</v>
      </c>
      <c r="C597" t="s">
        <v>123</v>
      </c>
      <c r="D597" t="s">
        <v>101</v>
      </c>
      <c r="E597" t="s">
        <v>72</v>
      </c>
      <c r="F597" t="s">
        <v>30</v>
      </c>
      <c r="G597" s="2">
        <v>46218.791666666657</v>
      </c>
      <c r="H597" s="2">
        <v>46219.291666666657</v>
      </c>
      <c r="I597">
        <v>12</v>
      </c>
      <c r="J597" t="s">
        <v>76</v>
      </c>
      <c r="K597" t="s">
        <v>102</v>
      </c>
    </row>
    <row r="598" spans="1:11" x14ac:dyDescent="0.2">
      <c r="A598" t="s">
        <v>704</v>
      </c>
      <c r="B598" s="1">
        <v>46218</v>
      </c>
      <c r="C598" t="s">
        <v>123</v>
      </c>
      <c r="D598" t="s">
        <v>101</v>
      </c>
      <c r="E598" t="s">
        <v>56</v>
      </c>
      <c r="F598" t="s">
        <v>23</v>
      </c>
      <c r="G598" s="2">
        <v>46218.291666666657</v>
      </c>
      <c r="H598" s="2">
        <v>46218.791666666657</v>
      </c>
      <c r="I598">
        <v>12</v>
      </c>
      <c r="J598" t="s">
        <v>80</v>
      </c>
      <c r="K598" t="s">
        <v>102</v>
      </c>
    </row>
    <row r="599" spans="1:11" x14ac:dyDescent="0.2">
      <c r="A599" t="s">
        <v>705</v>
      </c>
      <c r="B599" s="1">
        <v>46218</v>
      </c>
      <c r="C599" t="s">
        <v>123</v>
      </c>
      <c r="D599" t="s">
        <v>101</v>
      </c>
      <c r="E599" t="s">
        <v>56</v>
      </c>
      <c r="F599" t="s">
        <v>30</v>
      </c>
      <c r="G599" s="2">
        <v>46218.791666666657</v>
      </c>
      <c r="H599" s="2">
        <v>46219.291666666657</v>
      </c>
      <c r="I599">
        <v>12</v>
      </c>
      <c r="J599" t="s">
        <v>79</v>
      </c>
      <c r="K599" t="s">
        <v>102</v>
      </c>
    </row>
    <row r="600" spans="1:11" x14ac:dyDescent="0.2">
      <c r="A600" t="s">
        <v>706</v>
      </c>
      <c r="B600" s="1">
        <v>46218</v>
      </c>
      <c r="C600" t="s">
        <v>123</v>
      </c>
      <c r="D600" t="s">
        <v>101</v>
      </c>
      <c r="E600" t="s">
        <v>50</v>
      </c>
      <c r="F600" t="s">
        <v>23</v>
      </c>
      <c r="G600" s="2">
        <v>46218.291666666657</v>
      </c>
      <c r="H600" s="2">
        <v>46218.791666666657</v>
      </c>
      <c r="I600">
        <v>12</v>
      </c>
      <c r="J600" t="s">
        <v>86</v>
      </c>
      <c r="K600" t="s">
        <v>102</v>
      </c>
    </row>
    <row r="601" spans="1:11" x14ac:dyDescent="0.2">
      <c r="A601" t="s">
        <v>707</v>
      </c>
      <c r="B601" s="1">
        <v>46218</v>
      </c>
      <c r="C601" t="s">
        <v>123</v>
      </c>
      <c r="D601" t="s">
        <v>101</v>
      </c>
      <c r="E601" t="s">
        <v>50</v>
      </c>
      <c r="F601" t="s">
        <v>30</v>
      </c>
      <c r="G601" s="2">
        <v>46218.791666666657</v>
      </c>
      <c r="H601" s="2">
        <v>46219.291666666657</v>
      </c>
      <c r="I601">
        <v>12</v>
      </c>
      <c r="J601" t="s">
        <v>88</v>
      </c>
      <c r="K601" t="s">
        <v>102</v>
      </c>
    </row>
    <row r="602" spans="1:11" x14ac:dyDescent="0.2">
      <c r="A602" t="s">
        <v>708</v>
      </c>
      <c r="B602" s="1">
        <v>46219</v>
      </c>
      <c r="C602" t="s">
        <v>144</v>
      </c>
      <c r="D602" t="s">
        <v>709</v>
      </c>
      <c r="E602" t="s">
        <v>32</v>
      </c>
      <c r="F602" t="s">
        <v>23</v>
      </c>
      <c r="G602" s="2">
        <v>46219.291666666657</v>
      </c>
      <c r="H602" s="2">
        <v>46219.791666666657</v>
      </c>
      <c r="I602">
        <v>12</v>
      </c>
      <c r="J602" t="s">
        <v>31</v>
      </c>
      <c r="K602" t="s">
        <v>18</v>
      </c>
    </row>
    <row r="603" spans="1:11" x14ac:dyDescent="0.2">
      <c r="A603" t="s">
        <v>710</v>
      </c>
      <c r="B603" s="1">
        <v>46219</v>
      </c>
      <c r="C603" t="s">
        <v>144</v>
      </c>
      <c r="D603" t="s">
        <v>709</v>
      </c>
      <c r="E603" t="s">
        <v>32</v>
      </c>
      <c r="F603" t="s">
        <v>30</v>
      </c>
      <c r="G603" s="2">
        <v>46219.791666666657</v>
      </c>
      <c r="H603" s="2">
        <v>46220.291666666657</v>
      </c>
      <c r="I603">
        <v>12</v>
      </c>
      <c r="J603" t="s">
        <v>19</v>
      </c>
      <c r="K603" t="s">
        <v>18</v>
      </c>
    </row>
    <row r="604" spans="1:11" x14ac:dyDescent="0.2">
      <c r="A604" t="s">
        <v>711</v>
      </c>
      <c r="B604" s="1">
        <v>46219</v>
      </c>
      <c r="C604" t="s">
        <v>144</v>
      </c>
      <c r="D604" t="s">
        <v>709</v>
      </c>
      <c r="E604" t="s">
        <v>48</v>
      </c>
      <c r="F604" t="s">
        <v>23</v>
      </c>
      <c r="G604" s="2">
        <v>46219.291666666657</v>
      </c>
      <c r="H604" s="2">
        <v>46219.791666666657</v>
      </c>
      <c r="I604">
        <v>12</v>
      </c>
      <c r="J604" t="s">
        <v>42</v>
      </c>
      <c r="K604" t="s">
        <v>18</v>
      </c>
    </row>
    <row r="605" spans="1:11" x14ac:dyDescent="0.2">
      <c r="A605" t="s">
        <v>712</v>
      </c>
      <c r="B605" s="1">
        <v>46219</v>
      </c>
      <c r="C605" t="s">
        <v>144</v>
      </c>
      <c r="D605" t="s">
        <v>709</v>
      </c>
      <c r="E605" t="s">
        <v>48</v>
      </c>
      <c r="F605" t="s">
        <v>30</v>
      </c>
      <c r="G605" s="2">
        <v>46219.791666666657</v>
      </c>
      <c r="H605" s="2">
        <v>46220.291666666657</v>
      </c>
      <c r="I605">
        <v>12</v>
      </c>
      <c r="J605" t="s">
        <v>41</v>
      </c>
      <c r="K605" t="s">
        <v>18</v>
      </c>
    </row>
    <row r="606" spans="1:11" x14ac:dyDescent="0.2">
      <c r="A606" t="s">
        <v>713</v>
      </c>
      <c r="B606" s="1">
        <v>46219</v>
      </c>
      <c r="C606" t="s">
        <v>144</v>
      </c>
      <c r="D606" t="s">
        <v>709</v>
      </c>
      <c r="E606" t="s">
        <v>36</v>
      </c>
      <c r="F606" t="s">
        <v>23</v>
      </c>
      <c r="G606" s="2">
        <v>46219.291666666657</v>
      </c>
      <c r="H606" s="2">
        <v>46219.791666666657</v>
      </c>
      <c r="I606">
        <v>12</v>
      </c>
      <c r="J606" t="s">
        <v>46</v>
      </c>
      <c r="K606" t="s">
        <v>18</v>
      </c>
    </row>
    <row r="607" spans="1:11" x14ac:dyDescent="0.2">
      <c r="A607" t="s">
        <v>714</v>
      </c>
      <c r="B607" s="1">
        <v>46219</v>
      </c>
      <c r="C607" t="s">
        <v>144</v>
      </c>
      <c r="D607" t="s">
        <v>709</v>
      </c>
      <c r="E607" t="s">
        <v>36</v>
      </c>
      <c r="F607" t="s">
        <v>30</v>
      </c>
      <c r="G607" s="2">
        <v>46219.791666666657</v>
      </c>
      <c r="H607" s="2">
        <v>46220.291666666657</v>
      </c>
      <c r="I607">
        <v>12</v>
      </c>
      <c r="J607" t="s">
        <v>45</v>
      </c>
      <c r="K607" t="s">
        <v>18</v>
      </c>
    </row>
    <row r="608" spans="1:11" x14ac:dyDescent="0.2">
      <c r="A608" t="s">
        <v>715</v>
      </c>
      <c r="B608" s="1">
        <v>46219</v>
      </c>
      <c r="C608" t="s">
        <v>144</v>
      </c>
      <c r="D608" t="s">
        <v>709</v>
      </c>
      <c r="E608" t="s">
        <v>14</v>
      </c>
      <c r="F608" t="s">
        <v>23</v>
      </c>
      <c r="G608" s="2">
        <v>46219.291666666657</v>
      </c>
      <c r="H608" s="2">
        <v>46219.791666666657</v>
      </c>
      <c r="I608">
        <v>12</v>
      </c>
      <c r="J608" t="s">
        <v>53</v>
      </c>
      <c r="K608" t="s">
        <v>18</v>
      </c>
    </row>
    <row r="609" spans="1:11" x14ac:dyDescent="0.2">
      <c r="A609" t="s">
        <v>716</v>
      </c>
      <c r="B609" s="1">
        <v>46219</v>
      </c>
      <c r="C609" t="s">
        <v>144</v>
      </c>
      <c r="D609" t="s">
        <v>709</v>
      </c>
      <c r="E609" t="s">
        <v>14</v>
      </c>
      <c r="F609" t="s">
        <v>30</v>
      </c>
      <c r="G609" s="2">
        <v>46219.791666666657</v>
      </c>
      <c r="H609" s="2">
        <v>46220.291666666657</v>
      </c>
      <c r="I609">
        <v>12</v>
      </c>
      <c r="J609" t="s">
        <v>51</v>
      </c>
      <c r="K609" t="s">
        <v>18</v>
      </c>
    </row>
    <row r="610" spans="1:11" x14ac:dyDescent="0.2">
      <c r="A610" t="s">
        <v>717</v>
      </c>
      <c r="B610" s="1">
        <v>46219</v>
      </c>
      <c r="C610" t="s">
        <v>144</v>
      </c>
      <c r="D610" t="s">
        <v>709</v>
      </c>
      <c r="E610" t="s">
        <v>38</v>
      </c>
      <c r="F610" t="s">
        <v>23</v>
      </c>
      <c r="G610" s="2">
        <v>46219.291666666657</v>
      </c>
      <c r="H610" s="2">
        <v>46219.791666666657</v>
      </c>
      <c r="I610">
        <v>12</v>
      </c>
      <c r="J610" t="s">
        <v>55</v>
      </c>
      <c r="K610" t="s">
        <v>18</v>
      </c>
    </row>
    <row r="611" spans="1:11" x14ac:dyDescent="0.2">
      <c r="A611" t="s">
        <v>718</v>
      </c>
      <c r="B611" s="1">
        <v>46219</v>
      </c>
      <c r="C611" t="s">
        <v>144</v>
      </c>
      <c r="D611" t="s">
        <v>709</v>
      </c>
      <c r="E611" t="s">
        <v>38</v>
      </c>
      <c r="F611" t="s">
        <v>30</v>
      </c>
      <c r="G611" s="2">
        <v>46219.791666666657</v>
      </c>
      <c r="H611" s="2">
        <v>46220.291666666657</v>
      </c>
      <c r="I611">
        <v>12</v>
      </c>
      <c r="J611" t="s">
        <v>59</v>
      </c>
      <c r="K611" t="s">
        <v>18</v>
      </c>
    </row>
    <row r="612" spans="1:11" x14ac:dyDescent="0.2">
      <c r="A612" t="s">
        <v>719</v>
      </c>
      <c r="B612" s="1">
        <v>46219</v>
      </c>
      <c r="C612" t="s">
        <v>144</v>
      </c>
      <c r="D612" t="s">
        <v>709</v>
      </c>
      <c r="E612" t="s">
        <v>29</v>
      </c>
      <c r="F612" t="s">
        <v>23</v>
      </c>
      <c r="G612" s="2">
        <v>46219.291666666657</v>
      </c>
      <c r="H612" s="2">
        <v>46219.791666666657</v>
      </c>
      <c r="I612">
        <v>12</v>
      </c>
      <c r="J612" t="s">
        <v>64</v>
      </c>
      <c r="K612" t="s">
        <v>18</v>
      </c>
    </row>
    <row r="613" spans="1:11" x14ac:dyDescent="0.2">
      <c r="A613" t="s">
        <v>720</v>
      </c>
      <c r="B613" s="1">
        <v>46219</v>
      </c>
      <c r="C613" t="s">
        <v>144</v>
      </c>
      <c r="D613" t="s">
        <v>709</v>
      </c>
      <c r="E613" t="s">
        <v>29</v>
      </c>
      <c r="F613" t="s">
        <v>30</v>
      </c>
      <c r="G613" s="2">
        <v>46219.791666666657</v>
      </c>
      <c r="H613" s="2">
        <v>46220.291666666657</v>
      </c>
      <c r="I613">
        <v>12</v>
      </c>
      <c r="J613" t="s">
        <v>66</v>
      </c>
      <c r="K613" t="s">
        <v>18</v>
      </c>
    </row>
    <row r="614" spans="1:11" x14ac:dyDescent="0.2">
      <c r="A614" t="s">
        <v>721</v>
      </c>
      <c r="B614" s="1">
        <v>46219</v>
      </c>
      <c r="C614" t="s">
        <v>144</v>
      </c>
      <c r="D614" t="s">
        <v>709</v>
      </c>
      <c r="E614" t="s">
        <v>20</v>
      </c>
      <c r="F614" t="s">
        <v>23</v>
      </c>
      <c r="G614" s="2">
        <v>46219.291666666657</v>
      </c>
      <c r="H614" s="2">
        <v>46219.791666666657</v>
      </c>
      <c r="I614">
        <v>12</v>
      </c>
      <c r="J614" t="s">
        <v>71</v>
      </c>
      <c r="K614" t="s">
        <v>18</v>
      </c>
    </row>
    <row r="615" spans="1:11" x14ac:dyDescent="0.2">
      <c r="A615" t="s">
        <v>722</v>
      </c>
      <c r="B615" s="1">
        <v>46219</v>
      </c>
      <c r="C615" t="s">
        <v>144</v>
      </c>
      <c r="D615" t="s">
        <v>709</v>
      </c>
      <c r="E615" t="s">
        <v>20</v>
      </c>
      <c r="F615" t="s">
        <v>30</v>
      </c>
      <c r="G615" s="2">
        <v>46219.791666666657</v>
      </c>
      <c r="H615" s="2">
        <v>46220.291666666657</v>
      </c>
      <c r="I615">
        <v>12</v>
      </c>
      <c r="J615" t="s">
        <v>67</v>
      </c>
      <c r="K615" t="s">
        <v>18</v>
      </c>
    </row>
    <row r="616" spans="1:11" x14ac:dyDescent="0.2">
      <c r="A616" t="s">
        <v>723</v>
      </c>
      <c r="B616" s="1">
        <v>46219</v>
      </c>
      <c r="C616" t="s">
        <v>144</v>
      </c>
      <c r="D616" t="s">
        <v>709</v>
      </c>
      <c r="E616" t="s">
        <v>72</v>
      </c>
      <c r="F616" t="s">
        <v>23</v>
      </c>
      <c r="G616" s="2">
        <v>46219.291666666657</v>
      </c>
      <c r="H616" s="2">
        <v>46219.791666666657</v>
      </c>
      <c r="I616">
        <v>12</v>
      </c>
      <c r="J616" t="s">
        <v>78</v>
      </c>
      <c r="K616" t="s">
        <v>18</v>
      </c>
    </row>
    <row r="617" spans="1:11" x14ac:dyDescent="0.2">
      <c r="A617" t="s">
        <v>724</v>
      </c>
      <c r="B617" s="1">
        <v>46219</v>
      </c>
      <c r="C617" t="s">
        <v>144</v>
      </c>
      <c r="D617" t="s">
        <v>709</v>
      </c>
      <c r="E617" t="s">
        <v>72</v>
      </c>
      <c r="F617" t="s">
        <v>30</v>
      </c>
      <c r="G617" s="2">
        <v>46219.791666666657</v>
      </c>
      <c r="H617" s="2">
        <v>46220.291666666657</v>
      </c>
      <c r="I617">
        <v>12</v>
      </c>
      <c r="J617" t="s">
        <v>75</v>
      </c>
      <c r="K617" t="s">
        <v>18</v>
      </c>
    </row>
    <row r="618" spans="1:11" x14ac:dyDescent="0.2">
      <c r="A618" t="s">
        <v>725</v>
      </c>
      <c r="B618" s="1">
        <v>46219</v>
      </c>
      <c r="C618" t="s">
        <v>144</v>
      </c>
      <c r="D618" t="s">
        <v>709</v>
      </c>
      <c r="E618" t="s">
        <v>56</v>
      </c>
      <c r="F618" t="s">
        <v>23</v>
      </c>
      <c r="G618" s="2">
        <v>46219.291666666657</v>
      </c>
      <c r="H618" s="2">
        <v>46219.791666666657</v>
      </c>
      <c r="I618">
        <v>12</v>
      </c>
      <c r="J618" t="s">
        <v>81</v>
      </c>
      <c r="K618" t="s">
        <v>18</v>
      </c>
    </row>
    <row r="619" spans="1:11" x14ac:dyDescent="0.2">
      <c r="A619" t="s">
        <v>726</v>
      </c>
      <c r="B619" s="1">
        <v>46219</v>
      </c>
      <c r="C619" t="s">
        <v>144</v>
      </c>
      <c r="D619" t="s">
        <v>709</v>
      </c>
      <c r="E619" t="s">
        <v>56</v>
      </c>
      <c r="F619" t="s">
        <v>30</v>
      </c>
      <c r="G619" s="2">
        <v>46219.791666666657</v>
      </c>
      <c r="H619" s="2">
        <v>46220.291666666657</v>
      </c>
      <c r="I619">
        <v>12</v>
      </c>
      <c r="J619" t="s">
        <v>82</v>
      </c>
      <c r="K619" t="s">
        <v>18</v>
      </c>
    </row>
    <row r="620" spans="1:11" x14ac:dyDescent="0.2">
      <c r="A620" t="s">
        <v>727</v>
      </c>
      <c r="B620" s="1">
        <v>46219</v>
      </c>
      <c r="C620" t="s">
        <v>144</v>
      </c>
      <c r="D620" t="s">
        <v>709</v>
      </c>
      <c r="E620" t="s">
        <v>50</v>
      </c>
      <c r="F620" t="s">
        <v>23</v>
      </c>
      <c r="G620" s="2">
        <v>46219.291666666657</v>
      </c>
      <c r="H620" s="2">
        <v>46219.791666666657</v>
      </c>
      <c r="I620">
        <v>12</v>
      </c>
      <c r="J620" t="s">
        <v>85</v>
      </c>
      <c r="K620" t="s">
        <v>18</v>
      </c>
    </row>
    <row r="621" spans="1:11" x14ac:dyDescent="0.2">
      <c r="A621" t="s">
        <v>728</v>
      </c>
      <c r="B621" s="1">
        <v>46219</v>
      </c>
      <c r="C621" t="s">
        <v>144</v>
      </c>
      <c r="D621" t="s">
        <v>709</v>
      </c>
      <c r="E621" t="s">
        <v>50</v>
      </c>
      <c r="F621" t="s">
        <v>30</v>
      </c>
      <c r="G621" s="2">
        <v>46219.791666666657</v>
      </c>
      <c r="H621" s="2">
        <v>46220.291666666657</v>
      </c>
      <c r="I621">
        <v>12</v>
      </c>
      <c r="J621" t="s">
        <v>84</v>
      </c>
      <c r="K621" t="s">
        <v>18</v>
      </c>
    </row>
    <row r="622" spans="1:11" x14ac:dyDescent="0.2">
      <c r="A622" t="s">
        <v>729</v>
      </c>
      <c r="B622" s="1">
        <v>46220</v>
      </c>
      <c r="C622" t="s">
        <v>165</v>
      </c>
      <c r="D622" t="s">
        <v>730</v>
      </c>
      <c r="E622" t="s">
        <v>32</v>
      </c>
      <c r="F622" t="s">
        <v>23</v>
      </c>
      <c r="G622" s="2">
        <v>46220.291666666657</v>
      </c>
      <c r="H622" s="2">
        <v>46220.791666666657</v>
      </c>
      <c r="I622">
        <v>12</v>
      </c>
      <c r="J622" t="s">
        <v>19</v>
      </c>
      <c r="K622" t="s">
        <v>731</v>
      </c>
    </row>
    <row r="623" spans="1:11" x14ac:dyDescent="0.2">
      <c r="A623" t="s">
        <v>732</v>
      </c>
      <c r="B623" s="1">
        <v>46220</v>
      </c>
      <c r="C623" t="s">
        <v>165</v>
      </c>
      <c r="D623" t="s">
        <v>730</v>
      </c>
      <c r="E623" t="s">
        <v>32</v>
      </c>
      <c r="F623" t="s">
        <v>30</v>
      </c>
      <c r="G623" s="2">
        <v>46220.791666666657</v>
      </c>
      <c r="H623" s="2">
        <v>46221.291666666657</v>
      </c>
      <c r="I623">
        <v>12</v>
      </c>
      <c r="J623" t="s">
        <v>31</v>
      </c>
      <c r="K623" t="s">
        <v>731</v>
      </c>
    </row>
    <row r="624" spans="1:11" x14ac:dyDescent="0.2">
      <c r="A624" t="s">
        <v>733</v>
      </c>
      <c r="B624" s="1">
        <v>46220</v>
      </c>
      <c r="C624" t="s">
        <v>165</v>
      </c>
      <c r="D624" t="s">
        <v>730</v>
      </c>
      <c r="E624" t="s">
        <v>48</v>
      </c>
      <c r="F624" t="s">
        <v>23</v>
      </c>
      <c r="G624" s="2">
        <v>46220.291666666657</v>
      </c>
      <c r="H624" s="2">
        <v>46220.791666666657</v>
      </c>
      <c r="I624">
        <v>12</v>
      </c>
      <c r="J624" t="s">
        <v>40</v>
      </c>
      <c r="K624" t="s">
        <v>731</v>
      </c>
    </row>
    <row r="625" spans="1:11" x14ac:dyDescent="0.2">
      <c r="A625" t="s">
        <v>734</v>
      </c>
      <c r="B625" s="1">
        <v>46220</v>
      </c>
      <c r="C625" t="s">
        <v>165</v>
      </c>
      <c r="D625" t="s">
        <v>730</v>
      </c>
      <c r="E625" t="s">
        <v>48</v>
      </c>
      <c r="F625" t="s">
        <v>30</v>
      </c>
      <c r="G625" s="2">
        <v>46220.791666666657</v>
      </c>
      <c r="H625" s="2">
        <v>46221.291666666657</v>
      </c>
      <c r="I625">
        <v>12</v>
      </c>
      <c r="J625" t="s">
        <v>37</v>
      </c>
      <c r="K625" t="s">
        <v>731</v>
      </c>
    </row>
    <row r="626" spans="1:11" x14ac:dyDescent="0.2">
      <c r="A626" t="s">
        <v>735</v>
      </c>
      <c r="B626" s="1">
        <v>46220</v>
      </c>
      <c r="C626" t="s">
        <v>165</v>
      </c>
      <c r="D626" t="s">
        <v>730</v>
      </c>
      <c r="E626" t="s">
        <v>36</v>
      </c>
      <c r="F626" t="s">
        <v>23</v>
      </c>
      <c r="G626" s="2">
        <v>46220.291666666657</v>
      </c>
      <c r="H626" s="2">
        <v>46220.791666666657</v>
      </c>
      <c r="I626">
        <v>12</v>
      </c>
      <c r="J626" t="s">
        <v>43</v>
      </c>
      <c r="K626" t="s">
        <v>731</v>
      </c>
    </row>
    <row r="627" spans="1:11" x14ac:dyDescent="0.2">
      <c r="A627" t="s">
        <v>736</v>
      </c>
      <c r="B627" s="1">
        <v>46220</v>
      </c>
      <c r="C627" t="s">
        <v>165</v>
      </c>
      <c r="D627" t="s">
        <v>730</v>
      </c>
      <c r="E627" t="s">
        <v>36</v>
      </c>
      <c r="F627" t="s">
        <v>30</v>
      </c>
      <c r="G627" s="2">
        <v>46220.791666666657</v>
      </c>
      <c r="H627" s="2">
        <v>46221.291666666657</v>
      </c>
      <c r="I627">
        <v>12</v>
      </c>
      <c r="J627" t="s">
        <v>46</v>
      </c>
      <c r="K627" t="s">
        <v>731</v>
      </c>
    </row>
    <row r="628" spans="1:11" x14ac:dyDescent="0.2">
      <c r="A628" t="s">
        <v>737</v>
      </c>
      <c r="B628" s="1">
        <v>46220</v>
      </c>
      <c r="C628" t="s">
        <v>165</v>
      </c>
      <c r="D628" t="s">
        <v>730</v>
      </c>
      <c r="E628" t="s">
        <v>14</v>
      </c>
      <c r="F628" t="s">
        <v>23</v>
      </c>
      <c r="G628" s="2">
        <v>46220.291666666657</v>
      </c>
      <c r="H628" s="2">
        <v>46220.791666666657</v>
      </c>
      <c r="I628">
        <v>12</v>
      </c>
      <c r="J628" t="s">
        <v>53</v>
      </c>
      <c r="K628" t="s">
        <v>731</v>
      </c>
    </row>
    <row r="629" spans="1:11" x14ac:dyDescent="0.2">
      <c r="A629" t="s">
        <v>738</v>
      </c>
      <c r="B629" s="1">
        <v>46220</v>
      </c>
      <c r="C629" t="s">
        <v>165</v>
      </c>
      <c r="D629" t="s">
        <v>730</v>
      </c>
      <c r="E629" t="s">
        <v>14</v>
      </c>
      <c r="F629" t="s">
        <v>30</v>
      </c>
      <c r="G629" s="2">
        <v>46220.791666666657</v>
      </c>
      <c r="H629" s="2">
        <v>46221.291666666657</v>
      </c>
      <c r="I629">
        <v>12</v>
      </c>
      <c r="J629" t="s">
        <v>54</v>
      </c>
      <c r="K629" t="s">
        <v>731</v>
      </c>
    </row>
    <row r="630" spans="1:11" x14ac:dyDescent="0.2">
      <c r="A630" t="s">
        <v>739</v>
      </c>
      <c r="B630" s="1">
        <v>46220</v>
      </c>
      <c r="C630" t="s">
        <v>165</v>
      </c>
      <c r="D630" t="s">
        <v>730</v>
      </c>
      <c r="E630" t="s">
        <v>38</v>
      </c>
      <c r="F630" t="s">
        <v>23</v>
      </c>
      <c r="G630" s="2">
        <v>46220.291666666657</v>
      </c>
      <c r="H630" s="2">
        <v>46220.791666666657</v>
      </c>
      <c r="I630">
        <v>12</v>
      </c>
      <c r="J630" t="s">
        <v>55</v>
      </c>
      <c r="K630" t="s">
        <v>731</v>
      </c>
    </row>
    <row r="631" spans="1:11" x14ac:dyDescent="0.2">
      <c r="A631" t="s">
        <v>740</v>
      </c>
      <c r="B631" s="1">
        <v>46220</v>
      </c>
      <c r="C631" t="s">
        <v>165</v>
      </c>
      <c r="D631" t="s">
        <v>730</v>
      </c>
      <c r="E631" t="s">
        <v>38</v>
      </c>
      <c r="F631" t="s">
        <v>30</v>
      </c>
      <c r="G631" s="2">
        <v>46220.791666666657</v>
      </c>
      <c r="H631" s="2">
        <v>46221.291666666657</v>
      </c>
      <c r="I631">
        <v>12</v>
      </c>
      <c r="J631" t="s">
        <v>58</v>
      </c>
      <c r="K631" t="s">
        <v>731</v>
      </c>
    </row>
    <row r="632" spans="1:11" x14ac:dyDescent="0.2">
      <c r="A632" t="s">
        <v>741</v>
      </c>
      <c r="B632" s="1">
        <v>46220</v>
      </c>
      <c r="C632" t="s">
        <v>165</v>
      </c>
      <c r="D632" t="s">
        <v>730</v>
      </c>
      <c r="E632" t="s">
        <v>29</v>
      </c>
      <c r="F632" t="s">
        <v>23</v>
      </c>
      <c r="G632" s="2">
        <v>46220.291666666657</v>
      </c>
      <c r="H632" s="2">
        <v>46220.791666666657</v>
      </c>
      <c r="I632">
        <v>12</v>
      </c>
      <c r="J632" t="s">
        <v>66</v>
      </c>
      <c r="K632" t="s">
        <v>731</v>
      </c>
    </row>
    <row r="633" spans="1:11" x14ac:dyDescent="0.2">
      <c r="A633" t="s">
        <v>742</v>
      </c>
      <c r="B633" s="1">
        <v>46220</v>
      </c>
      <c r="C633" t="s">
        <v>165</v>
      </c>
      <c r="D633" t="s">
        <v>730</v>
      </c>
      <c r="E633" t="s">
        <v>29</v>
      </c>
      <c r="F633" t="s">
        <v>30</v>
      </c>
      <c r="G633" s="2">
        <v>46220.791666666657</v>
      </c>
      <c r="H633" s="2">
        <v>46221.291666666657</v>
      </c>
      <c r="I633">
        <v>12</v>
      </c>
      <c r="J633" t="s">
        <v>65</v>
      </c>
      <c r="K633" t="s">
        <v>731</v>
      </c>
    </row>
    <row r="634" spans="1:11" x14ac:dyDescent="0.2">
      <c r="A634" t="s">
        <v>743</v>
      </c>
      <c r="B634" s="1">
        <v>46220</v>
      </c>
      <c r="C634" t="s">
        <v>165</v>
      </c>
      <c r="D634" t="s">
        <v>730</v>
      </c>
      <c r="E634" t="s">
        <v>20</v>
      </c>
      <c r="F634" t="s">
        <v>23</v>
      </c>
      <c r="G634" s="2">
        <v>46220.291666666657</v>
      </c>
      <c r="H634" s="2">
        <v>46220.791666666657</v>
      </c>
      <c r="I634">
        <v>12</v>
      </c>
      <c r="J634" t="s">
        <v>69</v>
      </c>
      <c r="K634" t="s">
        <v>731</v>
      </c>
    </row>
    <row r="635" spans="1:11" x14ac:dyDescent="0.2">
      <c r="A635" t="s">
        <v>744</v>
      </c>
      <c r="B635" s="1">
        <v>46220</v>
      </c>
      <c r="C635" t="s">
        <v>165</v>
      </c>
      <c r="D635" t="s">
        <v>730</v>
      </c>
      <c r="E635" t="s">
        <v>20</v>
      </c>
      <c r="F635" t="s">
        <v>30</v>
      </c>
      <c r="G635" s="2">
        <v>46220.791666666657</v>
      </c>
      <c r="H635" s="2">
        <v>46221.291666666657</v>
      </c>
      <c r="I635">
        <v>12</v>
      </c>
      <c r="J635" t="s">
        <v>70</v>
      </c>
      <c r="K635" t="s">
        <v>731</v>
      </c>
    </row>
    <row r="636" spans="1:11" x14ac:dyDescent="0.2">
      <c r="A636" t="s">
        <v>745</v>
      </c>
      <c r="B636" s="1">
        <v>46220</v>
      </c>
      <c r="C636" t="s">
        <v>165</v>
      </c>
      <c r="D636" t="s">
        <v>730</v>
      </c>
      <c r="E636" t="s">
        <v>72</v>
      </c>
      <c r="F636" t="s">
        <v>23</v>
      </c>
      <c r="G636" s="2">
        <v>46220.291666666657</v>
      </c>
      <c r="H636" s="2">
        <v>46220.791666666657</v>
      </c>
      <c r="I636">
        <v>12</v>
      </c>
      <c r="J636" t="s">
        <v>74</v>
      </c>
      <c r="K636" t="s">
        <v>731</v>
      </c>
    </row>
    <row r="637" spans="1:11" x14ac:dyDescent="0.2">
      <c r="A637" t="s">
        <v>746</v>
      </c>
      <c r="B637" s="1">
        <v>46220</v>
      </c>
      <c r="C637" t="s">
        <v>165</v>
      </c>
      <c r="D637" t="s">
        <v>730</v>
      </c>
      <c r="E637" t="s">
        <v>72</v>
      </c>
      <c r="F637" t="s">
        <v>30</v>
      </c>
      <c r="G637" s="2">
        <v>46220.791666666657</v>
      </c>
      <c r="H637" s="2">
        <v>46221.291666666657</v>
      </c>
      <c r="I637">
        <v>12</v>
      </c>
      <c r="J637" t="s">
        <v>78</v>
      </c>
      <c r="K637" t="s">
        <v>731</v>
      </c>
    </row>
    <row r="638" spans="1:11" x14ac:dyDescent="0.2">
      <c r="A638" t="s">
        <v>747</v>
      </c>
      <c r="B638" s="1">
        <v>46220</v>
      </c>
      <c r="C638" t="s">
        <v>165</v>
      </c>
      <c r="D638" t="s">
        <v>730</v>
      </c>
      <c r="E638" t="s">
        <v>56</v>
      </c>
      <c r="F638" t="s">
        <v>23</v>
      </c>
      <c r="G638" s="2">
        <v>46220.291666666657</v>
      </c>
      <c r="H638" s="2">
        <v>46220.791666666657</v>
      </c>
      <c r="I638">
        <v>12</v>
      </c>
      <c r="J638" t="s">
        <v>83</v>
      </c>
      <c r="K638" t="s">
        <v>731</v>
      </c>
    </row>
    <row r="639" spans="1:11" x14ac:dyDescent="0.2">
      <c r="A639" t="s">
        <v>748</v>
      </c>
      <c r="B639" s="1">
        <v>46220</v>
      </c>
      <c r="C639" t="s">
        <v>165</v>
      </c>
      <c r="D639" t="s">
        <v>730</v>
      </c>
      <c r="E639" t="s">
        <v>56</v>
      </c>
      <c r="F639" t="s">
        <v>30</v>
      </c>
      <c r="G639" s="2">
        <v>46220.791666666657</v>
      </c>
      <c r="H639" s="2">
        <v>46221.291666666657</v>
      </c>
      <c r="I639">
        <v>12</v>
      </c>
      <c r="J639" t="s">
        <v>79</v>
      </c>
      <c r="K639" t="s">
        <v>731</v>
      </c>
    </row>
    <row r="640" spans="1:11" x14ac:dyDescent="0.2">
      <c r="A640" t="s">
        <v>749</v>
      </c>
      <c r="B640" s="1">
        <v>46220</v>
      </c>
      <c r="C640" t="s">
        <v>165</v>
      </c>
      <c r="D640" t="s">
        <v>730</v>
      </c>
      <c r="E640" t="s">
        <v>50</v>
      </c>
      <c r="F640" t="s">
        <v>23</v>
      </c>
      <c r="G640" s="2">
        <v>46220.291666666657</v>
      </c>
      <c r="H640" s="2">
        <v>46220.791666666657</v>
      </c>
      <c r="I640">
        <v>12</v>
      </c>
      <c r="J640" t="s">
        <v>86</v>
      </c>
      <c r="K640" t="s">
        <v>731</v>
      </c>
    </row>
    <row r="641" spans="1:11" x14ac:dyDescent="0.2">
      <c r="A641" t="s">
        <v>750</v>
      </c>
      <c r="B641" s="1">
        <v>46220</v>
      </c>
      <c r="C641" t="s">
        <v>165</v>
      </c>
      <c r="D641" t="s">
        <v>730</v>
      </c>
      <c r="E641" t="s">
        <v>50</v>
      </c>
      <c r="F641" t="s">
        <v>30</v>
      </c>
      <c r="G641" s="2">
        <v>46220.791666666657</v>
      </c>
      <c r="H641" s="2">
        <v>46221.291666666657</v>
      </c>
      <c r="I641">
        <v>12</v>
      </c>
      <c r="J641" t="s">
        <v>88</v>
      </c>
      <c r="K641" t="s">
        <v>731</v>
      </c>
    </row>
    <row r="642" spans="1:11" x14ac:dyDescent="0.2">
      <c r="A642" t="s">
        <v>751</v>
      </c>
      <c r="B642" s="1">
        <v>46221</v>
      </c>
      <c r="C642" t="s">
        <v>186</v>
      </c>
      <c r="D642" t="s">
        <v>730</v>
      </c>
      <c r="E642" t="s">
        <v>32</v>
      </c>
      <c r="F642" t="s">
        <v>23</v>
      </c>
      <c r="G642" s="2">
        <v>46221.291666666657</v>
      </c>
      <c r="H642" s="2">
        <v>46221.791666666657</v>
      </c>
      <c r="I642">
        <v>12</v>
      </c>
      <c r="J642" t="s">
        <v>13</v>
      </c>
      <c r="K642" t="s">
        <v>731</v>
      </c>
    </row>
    <row r="643" spans="1:11" x14ac:dyDescent="0.2">
      <c r="A643" t="s">
        <v>752</v>
      </c>
      <c r="B643" s="1">
        <v>46221</v>
      </c>
      <c r="C643" t="s">
        <v>186</v>
      </c>
      <c r="D643" t="s">
        <v>730</v>
      </c>
      <c r="E643" t="s">
        <v>32</v>
      </c>
      <c r="F643" t="s">
        <v>30</v>
      </c>
      <c r="G643" s="2">
        <v>46221.791666666657</v>
      </c>
      <c r="H643" s="2">
        <v>46222.291666666657</v>
      </c>
      <c r="I643">
        <v>12</v>
      </c>
      <c r="J643" t="s">
        <v>31</v>
      </c>
      <c r="K643" t="s">
        <v>731</v>
      </c>
    </row>
    <row r="644" spans="1:11" x14ac:dyDescent="0.2">
      <c r="A644" t="s">
        <v>753</v>
      </c>
      <c r="B644" s="1">
        <v>46221</v>
      </c>
      <c r="C644" t="s">
        <v>186</v>
      </c>
      <c r="D644" t="s">
        <v>730</v>
      </c>
      <c r="E644" t="s">
        <v>48</v>
      </c>
      <c r="F644" t="s">
        <v>23</v>
      </c>
      <c r="G644" s="2">
        <v>46221.291666666657</v>
      </c>
      <c r="H644" s="2">
        <v>46221.791666666657</v>
      </c>
      <c r="I644">
        <v>12</v>
      </c>
      <c r="J644" t="s">
        <v>35</v>
      </c>
      <c r="K644" t="s">
        <v>731</v>
      </c>
    </row>
    <row r="645" spans="1:11" x14ac:dyDescent="0.2">
      <c r="A645" t="s">
        <v>754</v>
      </c>
      <c r="B645" s="1">
        <v>46221</v>
      </c>
      <c r="C645" t="s">
        <v>186</v>
      </c>
      <c r="D645" t="s">
        <v>730</v>
      </c>
      <c r="E645" t="s">
        <v>48</v>
      </c>
      <c r="F645" t="s">
        <v>30</v>
      </c>
      <c r="G645" s="2">
        <v>46221.791666666657</v>
      </c>
      <c r="H645" s="2">
        <v>46222.291666666657</v>
      </c>
      <c r="I645">
        <v>12</v>
      </c>
      <c r="J645" t="s">
        <v>40</v>
      </c>
      <c r="K645" t="s">
        <v>731</v>
      </c>
    </row>
    <row r="646" spans="1:11" x14ac:dyDescent="0.2">
      <c r="A646" t="s">
        <v>755</v>
      </c>
      <c r="B646" s="1">
        <v>46221</v>
      </c>
      <c r="C646" t="s">
        <v>186</v>
      </c>
      <c r="D646" t="s">
        <v>730</v>
      </c>
      <c r="E646" t="s">
        <v>36</v>
      </c>
      <c r="F646" t="s">
        <v>23</v>
      </c>
      <c r="G646" s="2">
        <v>46221.291666666657</v>
      </c>
      <c r="H646" s="2">
        <v>46221.791666666657</v>
      </c>
      <c r="I646">
        <v>12</v>
      </c>
      <c r="J646" t="s">
        <v>45</v>
      </c>
      <c r="K646" t="s">
        <v>731</v>
      </c>
    </row>
    <row r="647" spans="1:11" x14ac:dyDescent="0.2">
      <c r="A647" t="s">
        <v>756</v>
      </c>
      <c r="B647" s="1">
        <v>46221</v>
      </c>
      <c r="C647" t="s">
        <v>186</v>
      </c>
      <c r="D647" t="s">
        <v>730</v>
      </c>
      <c r="E647" t="s">
        <v>36</v>
      </c>
      <c r="F647" t="s">
        <v>30</v>
      </c>
      <c r="G647" s="2">
        <v>46221.791666666657</v>
      </c>
      <c r="H647" s="2">
        <v>46222.291666666657</v>
      </c>
      <c r="I647">
        <v>12</v>
      </c>
      <c r="J647" t="s">
        <v>46</v>
      </c>
      <c r="K647" t="s">
        <v>731</v>
      </c>
    </row>
    <row r="648" spans="1:11" x14ac:dyDescent="0.2">
      <c r="A648" t="s">
        <v>757</v>
      </c>
      <c r="B648" s="1">
        <v>46221</v>
      </c>
      <c r="C648" t="s">
        <v>186</v>
      </c>
      <c r="D648" t="s">
        <v>730</v>
      </c>
      <c r="E648" t="s">
        <v>14</v>
      </c>
      <c r="F648" t="s">
        <v>23</v>
      </c>
      <c r="G648" s="2">
        <v>46221.291666666657</v>
      </c>
      <c r="H648" s="2">
        <v>46221.791666666657</v>
      </c>
      <c r="I648">
        <v>12</v>
      </c>
      <c r="J648" t="s">
        <v>49</v>
      </c>
      <c r="K648" t="s">
        <v>731</v>
      </c>
    </row>
    <row r="649" spans="1:11" x14ac:dyDescent="0.2">
      <c r="A649" t="s">
        <v>758</v>
      </c>
      <c r="B649" s="1">
        <v>46221</v>
      </c>
      <c r="C649" t="s">
        <v>186</v>
      </c>
      <c r="D649" t="s">
        <v>730</v>
      </c>
      <c r="E649" t="s">
        <v>14</v>
      </c>
      <c r="F649" t="s">
        <v>30</v>
      </c>
      <c r="G649" s="2">
        <v>46221.791666666657</v>
      </c>
      <c r="H649" s="2">
        <v>46222.291666666657</v>
      </c>
      <c r="I649">
        <v>12</v>
      </c>
      <c r="J649" t="s">
        <v>54</v>
      </c>
      <c r="K649" t="s">
        <v>731</v>
      </c>
    </row>
    <row r="650" spans="1:11" x14ac:dyDescent="0.2">
      <c r="A650" t="s">
        <v>759</v>
      </c>
      <c r="B650" s="1">
        <v>46221</v>
      </c>
      <c r="C650" t="s">
        <v>186</v>
      </c>
      <c r="D650" t="s">
        <v>730</v>
      </c>
      <c r="E650" t="s">
        <v>38</v>
      </c>
      <c r="F650" t="s">
        <v>23</v>
      </c>
      <c r="G650" s="2">
        <v>46221.291666666657</v>
      </c>
      <c r="H650" s="2">
        <v>46221.791666666657</v>
      </c>
      <c r="I650">
        <v>12</v>
      </c>
      <c r="J650" t="s">
        <v>59</v>
      </c>
      <c r="K650" t="s">
        <v>731</v>
      </c>
    </row>
    <row r="651" spans="1:11" x14ac:dyDescent="0.2">
      <c r="A651" t="s">
        <v>760</v>
      </c>
      <c r="B651" s="1">
        <v>46221</v>
      </c>
      <c r="C651" t="s">
        <v>186</v>
      </c>
      <c r="D651" t="s">
        <v>730</v>
      </c>
      <c r="E651" t="s">
        <v>38</v>
      </c>
      <c r="F651" t="s">
        <v>30</v>
      </c>
      <c r="G651" s="2">
        <v>46221.791666666657</v>
      </c>
      <c r="H651" s="2">
        <v>46222.291666666657</v>
      </c>
      <c r="I651">
        <v>12</v>
      </c>
      <c r="J651" t="s">
        <v>61</v>
      </c>
      <c r="K651" t="s">
        <v>731</v>
      </c>
    </row>
    <row r="652" spans="1:11" x14ac:dyDescent="0.2">
      <c r="A652" t="s">
        <v>761</v>
      </c>
      <c r="B652" s="1">
        <v>46221</v>
      </c>
      <c r="C652" t="s">
        <v>186</v>
      </c>
      <c r="D652" t="s">
        <v>730</v>
      </c>
      <c r="E652" t="s">
        <v>29</v>
      </c>
      <c r="F652" t="s">
        <v>23</v>
      </c>
      <c r="G652" s="2">
        <v>46221.291666666657</v>
      </c>
      <c r="H652" s="2">
        <v>46221.791666666657</v>
      </c>
      <c r="I652">
        <v>12</v>
      </c>
      <c r="J652" t="s">
        <v>62</v>
      </c>
      <c r="K652" t="s">
        <v>731</v>
      </c>
    </row>
    <row r="653" spans="1:11" x14ac:dyDescent="0.2">
      <c r="A653" t="s">
        <v>762</v>
      </c>
      <c r="B653" s="1">
        <v>46221</v>
      </c>
      <c r="C653" t="s">
        <v>186</v>
      </c>
      <c r="D653" t="s">
        <v>730</v>
      </c>
      <c r="E653" t="s">
        <v>29</v>
      </c>
      <c r="F653" t="s">
        <v>30</v>
      </c>
      <c r="G653" s="2">
        <v>46221.791666666657</v>
      </c>
      <c r="H653" s="2">
        <v>46222.291666666657</v>
      </c>
      <c r="I653">
        <v>12</v>
      </c>
      <c r="J653" t="s">
        <v>65</v>
      </c>
      <c r="K653" t="s">
        <v>731</v>
      </c>
    </row>
    <row r="654" spans="1:11" x14ac:dyDescent="0.2">
      <c r="A654" t="s">
        <v>763</v>
      </c>
      <c r="B654" s="1">
        <v>46221</v>
      </c>
      <c r="C654" t="s">
        <v>186</v>
      </c>
      <c r="D654" t="s">
        <v>730</v>
      </c>
      <c r="E654" t="s">
        <v>20</v>
      </c>
      <c r="F654" t="s">
        <v>23</v>
      </c>
      <c r="G654" s="2">
        <v>46221.291666666657</v>
      </c>
      <c r="H654" s="2">
        <v>46221.791666666657</v>
      </c>
      <c r="I654">
        <v>12</v>
      </c>
      <c r="J654" t="s">
        <v>68</v>
      </c>
      <c r="K654" t="s">
        <v>731</v>
      </c>
    </row>
    <row r="655" spans="1:11" x14ac:dyDescent="0.2">
      <c r="A655" t="s">
        <v>764</v>
      </c>
      <c r="B655" s="1">
        <v>46221</v>
      </c>
      <c r="C655" t="s">
        <v>186</v>
      </c>
      <c r="D655" t="s">
        <v>730</v>
      </c>
      <c r="E655" t="s">
        <v>20</v>
      </c>
      <c r="F655" t="s">
        <v>30</v>
      </c>
      <c r="G655" s="2">
        <v>46221.791666666657</v>
      </c>
      <c r="H655" s="2">
        <v>46222.291666666657</v>
      </c>
      <c r="I655">
        <v>12</v>
      </c>
      <c r="J655" t="s">
        <v>71</v>
      </c>
      <c r="K655" t="s">
        <v>731</v>
      </c>
    </row>
    <row r="656" spans="1:11" x14ac:dyDescent="0.2">
      <c r="A656" t="s">
        <v>765</v>
      </c>
      <c r="B656" s="1">
        <v>46221</v>
      </c>
      <c r="C656" t="s">
        <v>186</v>
      </c>
      <c r="D656" t="s">
        <v>730</v>
      </c>
      <c r="E656" t="s">
        <v>72</v>
      </c>
      <c r="F656" t="s">
        <v>23</v>
      </c>
      <c r="G656" s="2">
        <v>46221.291666666657</v>
      </c>
      <c r="H656" s="2">
        <v>46221.791666666657</v>
      </c>
      <c r="I656">
        <v>12</v>
      </c>
      <c r="J656" t="s">
        <v>75</v>
      </c>
      <c r="K656" t="s">
        <v>731</v>
      </c>
    </row>
    <row r="657" spans="1:11" x14ac:dyDescent="0.2">
      <c r="A657" t="s">
        <v>766</v>
      </c>
      <c r="B657" s="1">
        <v>46221</v>
      </c>
      <c r="C657" t="s">
        <v>186</v>
      </c>
      <c r="D657" t="s">
        <v>730</v>
      </c>
      <c r="E657" t="s">
        <v>72</v>
      </c>
      <c r="F657" t="s">
        <v>30</v>
      </c>
      <c r="G657" s="2">
        <v>46221.791666666657</v>
      </c>
      <c r="H657" s="2">
        <v>46222.291666666657</v>
      </c>
      <c r="I657">
        <v>12</v>
      </c>
      <c r="J657" t="s">
        <v>78</v>
      </c>
      <c r="K657" t="s">
        <v>731</v>
      </c>
    </row>
    <row r="658" spans="1:11" x14ac:dyDescent="0.2">
      <c r="A658" t="s">
        <v>767</v>
      </c>
      <c r="B658" s="1">
        <v>46221</v>
      </c>
      <c r="C658" t="s">
        <v>186</v>
      </c>
      <c r="D658" t="s">
        <v>730</v>
      </c>
      <c r="E658" t="s">
        <v>56</v>
      </c>
      <c r="F658" t="s">
        <v>23</v>
      </c>
      <c r="G658" s="2">
        <v>46221.291666666657</v>
      </c>
      <c r="H658" s="2">
        <v>46221.791666666657</v>
      </c>
      <c r="I658">
        <v>12</v>
      </c>
      <c r="J658" t="s">
        <v>82</v>
      </c>
      <c r="K658" t="s">
        <v>731</v>
      </c>
    </row>
    <row r="659" spans="1:11" x14ac:dyDescent="0.2">
      <c r="A659" t="s">
        <v>768</v>
      </c>
      <c r="B659" s="1">
        <v>46221</v>
      </c>
      <c r="C659" t="s">
        <v>186</v>
      </c>
      <c r="D659" t="s">
        <v>730</v>
      </c>
      <c r="E659" t="s">
        <v>56</v>
      </c>
      <c r="F659" t="s">
        <v>30</v>
      </c>
      <c r="G659" s="2">
        <v>46221.791666666657</v>
      </c>
      <c r="H659" s="2">
        <v>46222.291666666657</v>
      </c>
      <c r="I659">
        <v>12</v>
      </c>
      <c r="J659" t="s">
        <v>83</v>
      </c>
      <c r="K659" t="s">
        <v>731</v>
      </c>
    </row>
    <row r="660" spans="1:11" x14ac:dyDescent="0.2">
      <c r="A660" t="s">
        <v>769</v>
      </c>
      <c r="B660" s="1">
        <v>46221</v>
      </c>
      <c r="C660" t="s">
        <v>186</v>
      </c>
      <c r="D660" t="s">
        <v>730</v>
      </c>
      <c r="E660" t="s">
        <v>50</v>
      </c>
      <c r="F660" t="s">
        <v>23</v>
      </c>
      <c r="G660" s="2">
        <v>46221.291666666657</v>
      </c>
      <c r="H660" s="2">
        <v>46221.791666666657</v>
      </c>
      <c r="I660">
        <v>12</v>
      </c>
      <c r="J660" t="s">
        <v>86</v>
      </c>
      <c r="K660" t="s">
        <v>731</v>
      </c>
    </row>
    <row r="661" spans="1:11" x14ac:dyDescent="0.2">
      <c r="A661" t="s">
        <v>770</v>
      </c>
      <c r="B661" s="1">
        <v>46221</v>
      </c>
      <c r="C661" t="s">
        <v>186</v>
      </c>
      <c r="D661" t="s">
        <v>730</v>
      </c>
      <c r="E661" t="s">
        <v>50</v>
      </c>
      <c r="F661" t="s">
        <v>30</v>
      </c>
      <c r="G661" s="2">
        <v>46221.791666666657</v>
      </c>
      <c r="H661" s="2">
        <v>46222.291666666657</v>
      </c>
      <c r="I661">
        <v>12</v>
      </c>
      <c r="J661" t="s">
        <v>84</v>
      </c>
      <c r="K661" t="s">
        <v>731</v>
      </c>
    </row>
    <row r="662" spans="1:11" x14ac:dyDescent="0.2">
      <c r="A662" t="s">
        <v>771</v>
      </c>
      <c r="B662" s="1">
        <v>46222</v>
      </c>
      <c r="C662" t="s">
        <v>207</v>
      </c>
      <c r="D662" t="s">
        <v>730</v>
      </c>
      <c r="E662" t="s">
        <v>32</v>
      </c>
      <c r="F662" t="s">
        <v>23</v>
      </c>
      <c r="G662" s="2">
        <v>46222.291666666657</v>
      </c>
      <c r="H662" s="2">
        <v>46222.791666666657</v>
      </c>
      <c r="I662">
        <v>12</v>
      </c>
      <c r="J662" t="s">
        <v>31</v>
      </c>
      <c r="K662" t="s">
        <v>731</v>
      </c>
    </row>
    <row r="663" spans="1:11" x14ac:dyDescent="0.2">
      <c r="A663" t="s">
        <v>772</v>
      </c>
      <c r="B663" s="1">
        <v>46222</v>
      </c>
      <c r="C663" t="s">
        <v>207</v>
      </c>
      <c r="D663" t="s">
        <v>730</v>
      </c>
      <c r="E663" t="s">
        <v>32</v>
      </c>
      <c r="F663" t="s">
        <v>30</v>
      </c>
      <c r="G663" s="2">
        <v>46222.791666666657</v>
      </c>
      <c r="H663" s="2">
        <v>46223.291666666657</v>
      </c>
      <c r="I663">
        <v>12</v>
      </c>
      <c r="J663" t="s">
        <v>19</v>
      </c>
      <c r="K663" t="s">
        <v>731</v>
      </c>
    </row>
    <row r="664" spans="1:11" x14ac:dyDescent="0.2">
      <c r="A664" t="s">
        <v>773</v>
      </c>
      <c r="B664" s="1">
        <v>46222</v>
      </c>
      <c r="C664" t="s">
        <v>207</v>
      </c>
      <c r="D664" t="s">
        <v>730</v>
      </c>
      <c r="E664" t="s">
        <v>48</v>
      </c>
      <c r="F664" t="s">
        <v>23</v>
      </c>
      <c r="G664" s="2">
        <v>46222.291666666657</v>
      </c>
      <c r="H664" s="2">
        <v>46222.791666666657</v>
      </c>
      <c r="I664">
        <v>12</v>
      </c>
      <c r="J664" t="s">
        <v>40</v>
      </c>
      <c r="K664" t="s">
        <v>731</v>
      </c>
    </row>
    <row r="665" spans="1:11" x14ac:dyDescent="0.2">
      <c r="A665" t="s">
        <v>774</v>
      </c>
      <c r="B665" s="1">
        <v>46222</v>
      </c>
      <c r="C665" t="s">
        <v>207</v>
      </c>
      <c r="D665" t="s">
        <v>730</v>
      </c>
      <c r="E665" t="s">
        <v>48</v>
      </c>
      <c r="F665" t="s">
        <v>30</v>
      </c>
      <c r="G665" s="2">
        <v>46222.791666666657</v>
      </c>
      <c r="H665" s="2">
        <v>46223.291666666657</v>
      </c>
      <c r="I665">
        <v>12</v>
      </c>
      <c r="J665" t="s">
        <v>37</v>
      </c>
      <c r="K665" t="s">
        <v>731</v>
      </c>
    </row>
    <row r="666" spans="1:11" x14ac:dyDescent="0.2">
      <c r="A666" t="s">
        <v>775</v>
      </c>
      <c r="B666" s="1">
        <v>46222</v>
      </c>
      <c r="C666" t="s">
        <v>207</v>
      </c>
      <c r="D666" t="s">
        <v>730</v>
      </c>
      <c r="E666" t="s">
        <v>36</v>
      </c>
      <c r="F666" t="s">
        <v>23</v>
      </c>
      <c r="G666" s="2">
        <v>46222.291666666657</v>
      </c>
      <c r="H666" s="2">
        <v>46222.791666666657</v>
      </c>
      <c r="I666">
        <v>12</v>
      </c>
      <c r="J666" t="s">
        <v>44</v>
      </c>
      <c r="K666" t="s">
        <v>731</v>
      </c>
    </row>
    <row r="667" spans="1:11" x14ac:dyDescent="0.2">
      <c r="A667" t="s">
        <v>776</v>
      </c>
      <c r="B667" s="1">
        <v>46222</v>
      </c>
      <c r="C667" t="s">
        <v>207</v>
      </c>
      <c r="D667" t="s">
        <v>730</v>
      </c>
      <c r="E667" t="s">
        <v>36</v>
      </c>
      <c r="F667" t="s">
        <v>30</v>
      </c>
      <c r="G667" s="2">
        <v>46222.791666666657</v>
      </c>
      <c r="H667" s="2">
        <v>46223.291666666657</v>
      </c>
      <c r="I667">
        <v>12</v>
      </c>
      <c r="J667" t="s">
        <v>43</v>
      </c>
      <c r="K667" t="s">
        <v>731</v>
      </c>
    </row>
    <row r="668" spans="1:11" x14ac:dyDescent="0.2">
      <c r="A668" t="s">
        <v>777</v>
      </c>
      <c r="B668" s="1">
        <v>46222</v>
      </c>
      <c r="C668" t="s">
        <v>207</v>
      </c>
      <c r="D668" t="s">
        <v>730</v>
      </c>
      <c r="E668" t="s">
        <v>14</v>
      </c>
      <c r="F668" t="s">
        <v>23</v>
      </c>
      <c r="G668" s="2">
        <v>46222.291666666657</v>
      </c>
      <c r="H668" s="2">
        <v>46222.791666666657</v>
      </c>
      <c r="I668">
        <v>12</v>
      </c>
      <c r="J668" t="s">
        <v>53</v>
      </c>
      <c r="K668" t="s">
        <v>731</v>
      </c>
    </row>
    <row r="669" spans="1:11" x14ac:dyDescent="0.2">
      <c r="A669" t="s">
        <v>778</v>
      </c>
      <c r="B669" s="1">
        <v>46222</v>
      </c>
      <c r="C669" t="s">
        <v>207</v>
      </c>
      <c r="D669" t="s">
        <v>730</v>
      </c>
      <c r="E669" t="s">
        <v>14</v>
      </c>
      <c r="F669" t="s">
        <v>30</v>
      </c>
      <c r="G669" s="2">
        <v>46222.791666666657</v>
      </c>
      <c r="H669" s="2">
        <v>46223.291666666657</v>
      </c>
      <c r="I669">
        <v>12</v>
      </c>
      <c r="J669" t="s">
        <v>54</v>
      </c>
      <c r="K669" t="s">
        <v>731</v>
      </c>
    </row>
    <row r="670" spans="1:11" x14ac:dyDescent="0.2">
      <c r="A670" t="s">
        <v>779</v>
      </c>
      <c r="B670" s="1">
        <v>46222</v>
      </c>
      <c r="C670" t="s">
        <v>207</v>
      </c>
      <c r="D670" t="s">
        <v>730</v>
      </c>
      <c r="E670" t="s">
        <v>38</v>
      </c>
      <c r="F670" t="s">
        <v>23</v>
      </c>
      <c r="G670" s="2">
        <v>46222.291666666657</v>
      </c>
      <c r="H670" s="2">
        <v>46222.791666666657</v>
      </c>
      <c r="I670">
        <v>12</v>
      </c>
      <c r="J670" t="s">
        <v>59</v>
      </c>
      <c r="K670" t="s">
        <v>731</v>
      </c>
    </row>
    <row r="671" spans="1:11" x14ac:dyDescent="0.2">
      <c r="A671" t="s">
        <v>780</v>
      </c>
      <c r="B671" s="1">
        <v>46222</v>
      </c>
      <c r="C671" t="s">
        <v>207</v>
      </c>
      <c r="D671" t="s">
        <v>730</v>
      </c>
      <c r="E671" t="s">
        <v>38</v>
      </c>
      <c r="F671" t="s">
        <v>30</v>
      </c>
      <c r="G671" s="2">
        <v>46222.791666666657</v>
      </c>
      <c r="H671" s="2">
        <v>46223.291666666657</v>
      </c>
      <c r="I671">
        <v>12</v>
      </c>
      <c r="J671" t="s">
        <v>61</v>
      </c>
      <c r="K671" t="s">
        <v>731</v>
      </c>
    </row>
    <row r="672" spans="1:11" x14ac:dyDescent="0.2">
      <c r="A672" t="s">
        <v>781</v>
      </c>
      <c r="B672" s="1">
        <v>46222</v>
      </c>
      <c r="C672" t="s">
        <v>207</v>
      </c>
      <c r="D672" t="s">
        <v>730</v>
      </c>
      <c r="E672" t="s">
        <v>29</v>
      </c>
      <c r="F672" t="s">
        <v>23</v>
      </c>
      <c r="G672" s="2">
        <v>46222.291666666657</v>
      </c>
      <c r="H672" s="2">
        <v>46222.791666666657</v>
      </c>
      <c r="I672">
        <v>12</v>
      </c>
      <c r="J672" t="s">
        <v>65</v>
      </c>
      <c r="K672" t="s">
        <v>731</v>
      </c>
    </row>
    <row r="673" spans="1:11" x14ac:dyDescent="0.2">
      <c r="A673" t="s">
        <v>782</v>
      </c>
      <c r="B673" s="1">
        <v>46222</v>
      </c>
      <c r="C673" t="s">
        <v>207</v>
      </c>
      <c r="D673" t="s">
        <v>730</v>
      </c>
      <c r="E673" t="s">
        <v>29</v>
      </c>
      <c r="F673" t="s">
        <v>30</v>
      </c>
      <c r="G673" s="2">
        <v>46222.791666666657</v>
      </c>
      <c r="H673" s="2">
        <v>46223.291666666657</v>
      </c>
      <c r="I673">
        <v>12</v>
      </c>
      <c r="J673" t="s">
        <v>62</v>
      </c>
      <c r="K673" t="s">
        <v>731</v>
      </c>
    </row>
    <row r="674" spans="1:11" x14ac:dyDescent="0.2">
      <c r="A674" t="s">
        <v>783</v>
      </c>
      <c r="B674" s="1">
        <v>46222</v>
      </c>
      <c r="C674" t="s">
        <v>207</v>
      </c>
      <c r="D674" t="s">
        <v>730</v>
      </c>
      <c r="E674" t="s">
        <v>20</v>
      </c>
      <c r="F674" t="s">
        <v>23</v>
      </c>
      <c r="G674" s="2">
        <v>46222.291666666657</v>
      </c>
      <c r="H674" s="2">
        <v>46222.791666666657</v>
      </c>
      <c r="I674">
        <v>12</v>
      </c>
      <c r="J674" t="s">
        <v>71</v>
      </c>
      <c r="K674" t="s">
        <v>731</v>
      </c>
    </row>
    <row r="675" spans="1:11" x14ac:dyDescent="0.2">
      <c r="A675" t="s">
        <v>784</v>
      </c>
      <c r="B675" s="1">
        <v>46222</v>
      </c>
      <c r="C675" t="s">
        <v>207</v>
      </c>
      <c r="D675" t="s">
        <v>730</v>
      </c>
      <c r="E675" t="s">
        <v>20</v>
      </c>
      <c r="F675" t="s">
        <v>30</v>
      </c>
      <c r="G675" s="2">
        <v>46222.791666666657</v>
      </c>
      <c r="H675" s="2">
        <v>46223.291666666657</v>
      </c>
      <c r="I675">
        <v>12</v>
      </c>
      <c r="J675" t="s">
        <v>69</v>
      </c>
      <c r="K675" t="s">
        <v>731</v>
      </c>
    </row>
    <row r="676" spans="1:11" x14ac:dyDescent="0.2">
      <c r="A676" t="s">
        <v>785</v>
      </c>
      <c r="B676" s="1">
        <v>46222</v>
      </c>
      <c r="C676" t="s">
        <v>207</v>
      </c>
      <c r="D676" t="s">
        <v>730</v>
      </c>
      <c r="E676" t="s">
        <v>72</v>
      </c>
      <c r="F676" t="s">
        <v>23</v>
      </c>
      <c r="G676" s="2">
        <v>46222.291666666657</v>
      </c>
      <c r="H676" s="2">
        <v>46222.791666666657</v>
      </c>
      <c r="I676">
        <v>12</v>
      </c>
      <c r="J676" t="s">
        <v>76</v>
      </c>
      <c r="K676" t="s">
        <v>731</v>
      </c>
    </row>
    <row r="677" spans="1:11" x14ac:dyDescent="0.2">
      <c r="A677" t="s">
        <v>786</v>
      </c>
      <c r="B677" s="1">
        <v>46222</v>
      </c>
      <c r="C677" t="s">
        <v>207</v>
      </c>
      <c r="D677" t="s">
        <v>730</v>
      </c>
      <c r="E677" t="s">
        <v>72</v>
      </c>
      <c r="F677" t="s">
        <v>30</v>
      </c>
      <c r="G677" s="2">
        <v>46222.791666666657</v>
      </c>
      <c r="H677" s="2">
        <v>46223.291666666657</v>
      </c>
      <c r="I677">
        <v>12</v>
      </c>
      <c r="J677" t="s">
        <v>74</v>
      </c>
      <c r="K677" t="s">
        <v>731</v>
      </c>
    </row>
    <row r="678" spans="1:11" x14ac:dyDescent="0.2">
      <c r="A678" t="s">
        <v>787</v>
      </c>
      <c r="B678" s="1">
        <v>46222</v>
      </c>
      <c r="C678" t="s">
        <v>207</v>
      </c>
      <c r="D678" t="s">
        <v>730</v>
      </c>
      <c r="E678" t="s">
        <v>56</v>
      </c>
      <c r="F678" t="s">
        <v>23</v>
      </c>
      <c r="G678" s="2">
        <v>46222.291666666657</v>
      </c>
      <c r="H678" s="2">
        <v>46222.791666666657</v>
      </c>
      <c r="I678">
        <v>12</v>
      </c>
      <c r="J678" t="s">
        <v>80</v>
      </c>
      <c r="K678" t="s">
        <v>731</v>
      </c>
    </row>
    <row r="679" spans="1:11" x14ac:dyDescent="0.2">
      <c r="A679" t="s">
        <v>788</v>
      </c>
      <c r="B679" s="1">
        <v>46222</v>
      </c>
      <c r="C679" t="s">
        <v>207</v>
      </c>
      <c r="D679" t="s">
        <v>730</v>
      </c>
      <c r="E679" t="s">
        <v>56</v>
      </c>
      <c r="F679" t="s">
        <v>30</v>
      </c>
      <c r="G679" s="2">
        <v>46222.791666666657</v>
      </c>
      <c r="H679" s="2">
        <v>46223.291666666657</v>
      </c>
      <c r="I679">
        <v>12</v>
      </c>
      <c r="J679" t="s">
        <v>79</v>
      </c>
      <c r="K679" t="s">
        <v>731</v>
      </c>
    </row>
    <row r="680" spans="1:11" x14ac:dyDescent="0.2">
      <c r="A680" t="s">
        <v>789</v>
      </c>
      <c r="B680" s="1">
        <v>46222</v>
      </c>
      <c r="C680" t="s">
        <v>207</v>
      </c>
      <c r="D680" t="s">
        <v>730</v>
      </c>
      <c r="E680" t="s">
        <v>50</v>
      </c>
      <c r="F680" t="s">
        <v>23</v>
      </c>
      <c r="G680" s="2">
        <v>46222.291666666657</v>
      </c>
      <c r="H680" s="2">
        <v>46222.791666666657</v>
      </c>
      <c r="I680">
        <v>12</v>
      </c>
      <c r="J680" t="s">
        <v>87</v>
      </c>
      <c r="K680" t="s">
        <v>731</v>
      </c>
    </row>
    <row r="681" spans="1:11" x14ac:dyDescent="0.2">
      <c r="A681" t="s">
        <v>790</v>
      </c>
      <c r="B681" s="1">
        <v>46222</v>
      </c>
      <c r="C681" t="s">
        <v>207</v>
      </c>
      <c r="D681" t="s">
        <v>730</v>
      </c>
      <c r="E681" t="s">
        <v>50</v>
      </c>
      <c r="F681" t="s">
        <v>30</v>
      </c>
      <c r="G681" s="2">
        <v>46222.791666666657</v>
      </c>
      <c r="H681" s="2">
        <v>46223.291666666657</v>
      </c>
      <c r="I681">
        <v>12</v>
      </c>
      <c r="J681" t="s">
        <v>84</v>
      </c>
      <c r="K681" t="s">
        <v>731</v>
      </c>
    </row>
    <row r="682" spans="1:11" x14ac:dyDescent="0.2">
      <c r="A682" t="s">
        <v>791</v>
      </c>
      <c r="B682" s="1">
        <v>46223</v>
      </c>
      <c r="C682" t="s">
        <v>228</v>
      </c>
      <c r="D682" t="s">
        <v>730</v>
      </c>
      <c r="E682" t="s">
        <v>32</v>
      </c>
      <c r="F682" t="s">
        <v>23</v>
      </c>
      <c r="G682" s="2">
        <v>46223.291666666657</v>
      </c>
      <c r="H682" s="2">
        <v>46223.791666666657</v>
      </c>
      <c r="I682">
        <v>12</v>
      </c>
      <c r="J682" t="s">
        <v>13</v>
      </c>
      <c r="K682" t="s">
        <v>731</v>
      </c>
    </row>
    <row r="683" spans="1:11" x14ac:dyDescent="0.2">
      <c r="A683" t="s">
        <v>792</v>
      </c>
      <c r="B683" s="1">
        <v>46223</v>
      </c>
      <c r="C683" t="s">
        <v>228</v>
      </c>
      <c r="D683" t="s">
        <v>730</v>
      </c>
      <c r="E683" t="s">
        <v>32</v>
      </c>
      <c r="F683" t="s">
        <v>30</v>
      </c>
      <c r="G683" s="2">
        <v>46223.791666666657</v>
      </c>
      <c r="H683" s="2">
        <v>46224.291666666657</v>
      </c>
      <c r="I683">
        <v>12</v>
      </c>
      <c r="J683" t="s">
        <v>31</v>
      </c>
      <c r="K683" t="s">
        <v>731</v>
      </c>
    </row>
    <row r="684" spans="1:11" x14ac:dyDescent="0.2">
      <c r="A684" t="s">
        <v>793</v>
      </c>
      <c r="B684" s="1">
        <v>46223</v>
      </c>
      <c r="C684" t="s">
        <v>228</v>
      </c>
      <c r="D684" t="s">
        <v>730</v>
      </c>
      <c r="E684" t="s">
        <v>48</v>
      </c>
      <c r="F684" t="s">
        <v>23</v>
      </c>
      <c r="G684" s="2">
        <v>46223.291666666657</v>
      </c>
      <c r="H684" s="2">
        <v>46223.791666666657</v>
      </c>
      <c r="I684">
        <v>12</v>
      </c>
      <c r="J684" t="s">
        <v>41</v>
      </c>
      <c r="K684" t="s">
        <v>731</v>
      </c>
    </row>
    <row r="685" spans="1:11" x14ac:dyDescent="0.2">
      <c r="A685" t="s">
        <v>794</v>
      </c>
      <c r="B685" s="1">
        <v>46223</v>
      </c>
      <c r="C685" t="s">
        <v>228</v>
      </c>
      <c r="D685" t="s">
        <v>730</v>
      </c>
      <c r="E685" t="s">
        <v>48</v>
      </c>
      <c r="F685" t="s">
        <v>30</v>
      </c>
      <c r="G685" s="2">
        <v>46223.791666666657</v>
      </c>
      <c r="H685" s="2">
        <v>46224.291666666657</v>
      </c>
      <c r="I685">
        <v>12</v>
      </c>
      <c r="J685" t="s">
        <v>37</v>
      </c>
      <c r="K685" t="s">
        <v>731</v>
      </c>
    </row>
    <row r="686" spans="1:11" x14ac:dyDescent="0.2">
      <c r="A686" t="s">
        <v>795</v>
      </c>
      <c r="B686" s="1">
        <v>46223</v>
      </c>
      <c r="C686" t="s">
        <v>228</v>
      </c>
      <c r="D686" t="s">
        <v>730</v>
      </c>
      <c r="E686" t="s">
        <v>36</v>
      </c>
      <c r="F686" t="s">
        <v>23</v>
      </c>
      <c r="G686" s="2">
        <v>46223.291666666657</v>
      </c>
      <c r="H686" s="2">
        <v>46223.791666666657</v>
      </c>
      <c r="I686">
        <v>12</v>
      </c>
      <c r="J686" t="s">
        <v>45</v>
      </c>
      <c r="K686" t="s">
        <v>731</v>
      </c>
    </row>
    <row r="687" spans="1:11" x14ac:dyDescent="0.2">
      <c r="A687" t="s">
        <v>796</v>
      </c>
      <c r="B687" s="1">
        <v>46223</v>
      </c>
      <c r="C687" t="s">
        <v>228</v>
      </c>
      <c r="D687" t="s">
        <v>730</v>
      </c>
      <c r="E687" t="s">
        <v>36</v>
      </c>
      <c r="F687" t="s">
        <v>30</v>
      </c>
      <c r="G687" s="2">
        <v>46223.791666666657</v>
      </c>
      <c r="H687" s="2">
        <v>46224.291666666657</v>
      </c>
      <c r="I687">
        <v>12</v>
      </c>
      <c r="J687" t="s">
        <v>47</v>
      </c>
      <c r="K687" t="s">
        <v>731</v>
      </c>
    </row>
    <row r="688" spans="1:11" x14ac:dyDescent="0.2">
      <c r="A688" t="s">
        <v>797</v>
      </c>
      <c r="B688" s="1">
        <v>46223</v>
      </c>
      <c r="C688" t="s">
        <v>228</v>
      </c>
      <c r="D688" t="s">
        <v>730</v>
      </c>
      <c r="E688" t="s">
        <v>14</v>
      </c>
      <c r="F688" t="s">
        <v>23</v>
      </c>
      <c r="G688" s="2">
        <v>46223.291666666657</v>
      </c>
      <c r="H688" s="2">
        <v>46223.791666666657</v>
      </c>
      <c r="I688">
        <v>12</v>
      </c>
      <c r="J688" t="s">
        <v>54</v>
      </c>
      <c r="K688" t="s">
        <v>731</v>
      </c>
    </row>
    <row r="689" spans="1:11" x14ac:dyDescent="0.2">
      <c r="A689" t="s">
        <v>798</v>
      </c>
      <c r="B689" s="1">
        <v>46223</v>
      </c>
      <c r="C689" t="s">
        <v>228</v>
      </c>
      <c r="D689" t="s">
        <v>730</v>
      </c>
      <c r="E689" t="s">
        <v>14</v>
      </c>
      <c r="F689" t="s">
        <v>30</v>
      </c>
      <c r="G689" s="2">
        <v>46223.791666666657</v>
      </c>
      <c r="H689" s="2">
        <v>46224.291666666657</v>
      </c>
      <c r="I689">
        <v>12</v>
      </c>
      <c r="J689" t="s">
        <v>53</v>
      </c>
      <c r="K689" t="s">
        <v>731</v>
      </c>
    </row>
    <row r="690" spans="1:11" x14ac:dyDescent="0.2">
      <c r="A690" t="s">
        <v>799</v>
      </c>
      <c r="B690" s="1">
        <v>46223</v>
      </c>
      <c r="C690" t="s">
        <v>228</v>
      </c>
      <c r="D690" t="s">
        <v>730</v>
      </c>
      <c r="E690" t="s">
        <v>38</v>
      </c>
      <c r="F690" t="s">
        <v>23</v>
      </c>
      <c r="G690" s="2">
        <v>46223.291666666657</v>
      </c>
      <c r="H690" s="2">
        <v>46223.791666666657</v>
      </c>
      <c r="I690">
        <v>12</v>
      </c>
      <c r="J690" t="s">
        <v>61</v>
      </c>
      <c r="K690" t="s">
        <v>731</v>
      </c>
    </row>
    <row r="691" spans="1:11" x14ac:dyDescent="0.2">
      <c r="A691" t="s">
        <v>800</v>
      </c>
      <c r="B691" s="1">
        <v>46223</v>
      </c>
      <c r="C691" t="s">
        <v>228</v>
      </c>
      <c r="D691" t="s">
        <v>730</v>
      </c>
      <c r="E691" t="s">
        <v>38</v>
      </c>
      <c r="F691" t="s">
        <v>30</v>
      </c>
      <c r="G691" s="2">
        <v>46223.791666666657</v>
      </c>
      <c r="H691" s="2">
        <v>46224.291666666657</v>
      </c>
      <c r="I691">
        <v>12</v>
      </c>
      <c r="J691" t="s">
        <v>55</v>
      </c>
      <c r="K691" t="s">
        <v>731</v>
      </c>
    </row>
    <row r="692" spans="1:11" x14ac:dyDescent="0.2">
      <c r="A692" t="s">
        <v>801</v>
      </c>
      <c r="B692" s="1">
        <v>46223</v>
      </c>
      <c r="C692" t="s">
        <v>228</v>
      </c>
      <c r="D692" t="s">
        <v>730</v>
      </c>
      <c r="E692" t="s">
        <v>29</v>
      </c>
      <c r="F692" t="s">
        <v>23</v>
      </c>
      <c r="G692" s="2">
        <v>46223.291666666657</v>
      </c>
      <c r="H692" s="2">
        <v>46223.791666666657</v>
      </c>
      <c r="I692">
        <v>12</v>
      </c>
      <c r="J692" t="s">
        <v>64</v>
      </c>
      <c r="K692" t="s">
        <v>731</v>
      </c>
    </row>
    <row r="693" spans="1:11" x14ac:dyDescent="0.2">
      <c r="A693" t="s">
        <v>802</v>
      </c>
      <c r="B693" s="1">
        <v>46223</v>
      </c>
      <c r="C693" t="s">
        <v>228</v>
      </c>
      <c r="D693" t="s">
        <v>730</v>
      </c>
      <c r="E693" t="s">
        <v>29</v>
      </c>
      <c r="F693" t="s">
        <v>30</v>
      </c>
      <c r="G693" s="2">
        <v>46223.791666666657</v>
      </c>
      <c r="H693" s="2">
        <v>46224.291666666657</v>
      </c>
      <c r="I693">
        <v>12</v>
      </c>
      <c r="J693" t="s">
        <v>63</v>
      </c>
      <c r="K693" t="s">
        <v>731</v>
      </c>
    </row>
    <row r="694" spans="1:11" x14ac:dyDescent="0.2">
      <c r="A694" t="s">
        <v>803</v>
      </c>
      <c r="B694" s="1">
        <v>46223</v>
      </c>
      <c r="C694" t="s">
        <v>228</v>
      </c>
      <c r="D694" t="s">
        <v>730</v>
      </c>
      <c r="E694" t="s">
        <v>20</v>
      </c>
      <c r="F694" t="s">
        <v>23</v>
      </c>
      <c r="G694" s="2">
        <v>46223.291666666657</v>
      </c>
      <c r="H694" s="2">
        <v>46223.791666666657</v>
      </c>
      <c r="I694">
        <v>12</v>
      </c>
      <c r="J694" t="s">
        <v>71</v>
      </c>
      <c r="K694" t="s">
        <v>731</v>
      </c>
    </row>
    <row r="695" spans="1:11" x14ac:dyDescent="0.2">
      <c r="A695" t="s">
        <v>804</v>
      </c>
      <c r="B695" s="1">
        <v>46223</v>
      </c>
      <c r="C695" t="s">
        <v>228</v>
      </c>
      <c r="D695" t="s">
        <v>730</v>
      </c>
      <c r="E695" t="s">
        <v>20</v>
      </c>
      <c r="F695" t="s">
        <v>30</v>
      </c>
      <c r="G695" s="2">
        <v>46223.791666666657</v>
      </c>
      <c r="H695" s="2">
        <v>46224.291666666657</v>
      </c>
      <c r="I695">
        <v>12</v>
      </c>
      <c r="J695" t="s">
        <v>67</v>
      </c>
      <c r="K695" t="s">
        <v>731</v>
      </c>
    </row>
    <row r="696" spans="1:11" x14ac:dyDescent="0.2">
      <c r="A696" t="s">
        <v>805</v>
      </c>
      <c r="B696" s="1">
        <v>46223</v>
      </c>
      <c r="C696" t="s">
        <v>228</v>
      </c>
      <c r="D696" t="s">
        <v>730</v>
      </c>
      <c r="E696" t="s">
        <v>72</v>
      </c>
      <c r="F696" t="s">
        <v>23</v>
      </c>
      <c r="G696" s="2">
        <v>46223.291666666657</v>
      </c>
      <c r="H696" s="2">
        <v>46223.791666666657</v>
      </c>
      <c r="I696">
        <v>12</v>
      </c>
      <c r="J696" t="s">
        <v>74</v>
      </c>
      <c r="K696" t="s">
        <v>731</v>
      </c>
    </row>
    <row r="697" spans="1:11" x14ac:dyDescent="0.2">
      <c r="A697" t="s">
        <v>806</v>
      </c>
      <c r="B697" s="1">
        <v>46223</v>
      </c>
      <c r="C697" t="s">
        <v>228</v>
      </c>
      <c r="D697" t="s">
        <v>730</v>
      </c>
      <c r="E697" t="s">
        <v>72</v>
      </c>
      <c r="F697" t="s">
        <v>30</v>
      </c>
      <c r="G697" s="2">
        <v>46223.791666666657</v>
      </c>
      <c r="H697" s="2">
        <v>46224.291666666657</v>
      </c>
      <c r="I697">
        <v>12</v>
      </c>
      <c r="J697" t="s">
        <v>78</v>
      </c>
      <c r="K697" t="s">
        <v>731</v>
      </c>
    </row>
    <row r="698" spans="1:11" x14ac:dyDescent="0.2">
      <c r="A698" t="s">
        <v>807</v>
      </c>
      <c r="B698" s="1">
        <v>46223</v>
      </c>
      <c r="C698" t="s">
        <v>228</v>
      </c>
      <c r="D698" t="s">
        <v>730</v>
      </c>
      <c r="E698" t="s">
        <v>56</v>
      </c>
      <c r="F698" t="s">
        <v>23</v>
      </c>
      <c r="G698" s="2">
        <v>46223.291666666657</v>
      </c>
      <c r="H698" s="2">
        <v>46223.791666666657</v>
      </c>
      <c r="I698">
        <v>12</v>
      </c>
      <c r="J698" t="s">
        <v>82</v>
      </c>
      <c r="K698" t="s">
        <v>731</v>
      </c>
    </row>
    <row r="699" spans="1:11" x14ac:dyDescent="0.2">
      <c r="A699" t="s">
        <v>808</v>
      </c>
      <c r="B699" s="1">
        <v>46223</v>
      </c>
      <c r="C699" t="s">
        <v>228</v>
      </c>
      <c r="D699" t="s">
        <v>730</v>
      </c>
      <c r="E699" t="s">
        <v>56</v>
      </c>
      <c r="F699" t="s">
        <v>30</v>
      </c>
      <c r="G699" s="2">
        <v>46223.791666666657</v>
      </c>
      <c r="H699" s="2">
        <v>46224.291666666657</v>
      </c>
      <c r="I699">
        <v>12</v>
      </c>
      <c r="J699" t="s">
        <v>83</v>
      </c>
      <c r="K699" t="s">
        <v>731</v>
      </c>
    </row>
    <row r="700" spans="1:11" x14ac:dyDescent="0.2">
      <c r="A700" t="s">
        <v>809</v>
      </c>
      <c r="B700" s="1">
        <v>46223</v>
      </c>
      <c r="C700" t="s">
        <v>228</v>
      </c>
      <c r="D700" t="s">
        <v>730</v>
      </c>
      <c r="E700" t="s">
        <v>50</v>
      </c>
      <c r="F700" t="s">
        <v>23</v>
      </c>
      <c r="G700" s="2">
        <v>46223.291666666657</v>
      </c>
      <c r="H700" s="2">
        <v>46223.791666666657</v>
      </c>
      <c r="I700">
        <v>12</v>
      </c>
      <c r="J700" t="s">
        <v>87</v>
      </c>
      <c r="K700" t="s">
        <v>731</v>
      </c>
    </row>
    <row r="701" spans="1:11" x14ac:dyDescent="0.2">
      <c r="A701" t="s">
        <v>810</v>
      </c>
      <c r="B701" s="1">
        <v>46223</v>
      </c>
      <c r="C701" t="s">
        <v>228</v>
      </c>
      <c r="D701" t="s">
        <v>730</v>
      </c>
      <c r="E701" t="s">
        <v>50</v>
      </c>
      <c r="F701" t="s">
        <v>30</v>
      </c>
      <c r="G701" s="2">
        <v>46223.791666666657</v>
      </c>
      <c r="H701" s="2">
        <v>46224.291666666657</v>
      </c>
      <c r="I701">
        <v>12</v>
      </c>
      <c r="J701" t="s">
        <v>84</v>
      </c>
      <c r="K701" t="s">
        <v>731</v>
      </c>
    </row>
    <row r="702" spans="1:11" x14ac:dyDescent="0.2">
      <c r="A702" t="s">
        <v>811</v>
      </c>
      <c r="B702" s="1">
        <v>46224</v>
      </c>
      <c r="C702" t="s">
        <v>100</v>
      </c>
      <c r="D702" t="s">
        <v>730</v>
      </c>
      <c r="E702" t="s">
        <v>32</v>
      </c>
      <c r="F702" t="s">
        <v>23</v>
      </c>
      <c r="G702" s="2">
        <v>46224.291666666657</v>
      </c>
      <c r="H702" s="2">
        <v>46224.791666666657</v>
      </c>
      <c r="I702">
        <v>12</v>
      </c>
      <c r="J702" t="s">
        <v>13</v>
      </c>
      <c r="K702" t="s">
        <v>731</v>
      </c>
    </row>
    <row r="703" spans="1:11" x14ac:dyDescent="0.2">
      <c r="A703" t="s">
        <v>812</v>
      </c>
      <c r="B703" s="1">
        <v>46224</v>
      </c>
      <c r="C703" t="s">
        <v>100</v>
      </c>
      <c r="D703" t="s">
        <v>730</v>
      </c>
      <c r="E703" t="s">
        <v>32</v>
      </c>
      <c r="F703" t="s">
        <v>30</v>
      </c>
      <c r="G703" s="2">
        <v>46224.791666666657</v>
      </c>
      <c r="H703" s="2">
        <v>46225.291666666657</v>
      </c>
      <c r="I703">
        <v>12</v>
      </c>
      <c r="J703" t="s">
        <v>31</v>
      </c>
      <c r="K703" t="s">
        <v>731</v>
      </c>
    </row>
    <row r="704" spans="1:11" x14ac:dyDescent="0.2">
      <c r="A704" t="s">
        <v>813</v>
      </c>
      <c r="B704" s="1">
        <v>46224</v>
      </c>
      <c r="C704" t="s">
        <v>100</v>
      </c>
      <c r="D704" t="s">
        <v>730</v>
      </c>
      <c r="E704" t="s">
        <v>48</v>
      </c>
      <c r="F704" t="s">
        <v>23</v>
      </c>
      <c r="G704" s="2">
        <v>46224.291666666657</v>
      </c>
      <c r="H704" s="2">
        <v>46224.791666666657</v>
      </c>
      <c r="I704">
        <v>12</v>
      </c>
      <c r="J704" t="s">
        <v>35</v>
      </c>
      <c r="K704" t="s">
        <v>731</v>
      </c>
    </row>
    <row r="705" spans="1:11" x14ac:dyDescent="0.2">
      <c r="A705" t="s">
        <v>814</v>
      </c>
      <c r="B705" s="1">
        <v>46224</v>
      </c>
      <c r="C705" t="s">
        <v>100</v>
      </c>
      <c r="D705" t="s">
        <v>730</v>
      </c>
      <c r="E705" t="s">
        <v>48</v>
      </c>
      <c r="F705" t="s">
        <v>30</v>
      </c>
      <c r="G705" s="2">
        <v>46224.791666666657</v>
      </c>
      <c r="H705" s="2">
        <v>46225.291666666657</v>
      </c>
      <c r="I705">
        <v>12</v>
      </c>
      <c r="J705" t="s">
        <v>42</v>
      </c>
      <c r="K705" t="s">
        <v>731</v>
      </c>
    </row>
    <row r="706" spans="1:11" x14ac:dyDescent="0.2">
      <c r="A706" t="s">
        <v>815</v>
      </c>
      <c r="B706" s="1">
        <v>46224</v>
      </c>
      <c r="C706" t="s">
        <v>100</v>
      </c>
      <c r="D706" t="s">
        <v>730</v>
      </c>
      <c r="E706" t="s">
        <v>36</v>
      </c>
      <c r="F706" t="s">
        <v>23</v>
      </c>
      <c r="G706" s="2">
        <v>46224.291666666657</v>
      </c>
      <c r="H706" s="2">
        <v>46224.791666666657</v>
      </c>
      <c r="I706">
        <v>12</v>
      </c>
      <c r="J706" t="s">
        <v>45</v>
      </c>
      <c r="K706" t="s">
        <v>731</v>
      </c>
    </row>
    <row r="707" spans="1:11" x14ac:dyDescent="0.2">
      <c r="A707" t="s">
        <v>816</v>
      </c>
      <c r="B707" s="1">
        <v>46224</v>
      </c>
      <c r="C707" t="s">
        <v>100</v>
      </c>
      <c r="D707" t="s">
        <v>730</v>
      </c>
      <c r="E707" t="s">
        <v>36</v>
      </c>
      <c r="F707" t="s">
        <v>30</v>
      </c>
      <c r="G707" s="2">
        <v>46224.791666666657</v>
      </c>
      <c r="H707" s="2">
        <v>46225.291666666657</v>
      </c>
      <c r="I707">
        <v>12</v>
      </c>
      <c r="J707" t="s">
        <v>43</v>
      </c>
      <c r="K707" t="s">
        <v>731</v>
      </c>
    </row>
    <row r="708" spans="1:11" x14ac:dyDescent="0.2">
      <c r="A708" t="s">
        <v>817</v>
      </c>
      <c r="B708" s="1">
        <v>46224</v>
      </c>
      <c r="C708" t="s">
        <v>100</v>
      </c>
      <c r="D708" t="s">
        <v>730</v>
      </c>
      <c r="E708" t="s">
        <v>14</v>
      </c>
      <c r="F708" t="s">
        <v>23</v>
      </c>
      <c r="G708" s="2">
        <v>46224.291666666657</v>
      </c>
      <c r="H708" s="2">
        <v>46224.791666666657</v>
      </c>
      <c r="I708">
        <v>12</v>
      </c>
      <c r="J708" t="s">
        <v>52</v>
      </c>
      <c r="K708" t="s">
        <v>731</v>
      </c>
    </row>
    <row r="709" spans="1:11" x14ac:dyDescent="0.2">
      <c r="A709" t="s">
        <v>818</v>
      </c>
      <c r="B709" s="1">
        <v>46224</v>
      </c>
      <c r="C709" t="s">
        <v>100</v>
      </c>
      <c r="D709" t="s">
        <v>730</v>
      </c>
      <c r="E709" t="s">
        <v>14</v>
      </c>
      <c r="F709" t="s">
        <v>30</v>
      </c>
      <c r="G709" s="2">
        <v>46224.791666666657</v>
      </c>
      <c r="H709" s="2">
        <v>46225.291666666657</v>
      </c>
      <c r="I709">
        <v>12</v>
      </c>
      <c r="J709" t="s">
        <v>53</v>
      </c>
      <c r="K709" t="s">
        <v>731</v>
      </c>
    </row>
    <row r="710" spans="1:11" x14ac:dyDescent="0.2">
      <c r="A710" t="s">
        <v>819</v>
      </c>
      <c r="B710" s="1">
        <v>46224</v>
      </c>
      <c r="C710" t="s">
        <v>100</v>
      </c>
      <c r="D710" t="s">
        <v>730</v>
      </c>
      <c r="E710" t="s">
        <v>38</v>
      </c>
      <c r="F710" t="s">
        <v>23</v>
      </c>
      <c r="G710" s="2">
        <v>46224.291666666657</v>
      </c>
      <c r="H710" s="2">
        <v>46224.791666666657</v>
      </c>
      <c r="I710">
        <v>12</v>
      </c>
      <c r="J710" t="s">
        <v>55</v>
      </c>
      <c r="K710" t="s">
        <v>731</v>
      </c>
    </row>
    <row r="711" spans="1:11" x14ac:dyDescent="0.2">
      <c r="A711" t="s">
        <v>820</v>
      </c>
      <c r="B711" s="1">
        <v>46224</v>
      </c>
      <c r="C711" t="s">
        <v>100</v>
      </c>
      <c r="D711" t="s">
        <v>730</v>
      </c>
      <c r="E711" t="s">
        <v>38</v>
      </c>
      <c r="F711" t="s">
        <v>30</v>
      </c>
      <c r="G711" s="2">
        <v>46224.791666666657</v>
      </c>
      <c r="H711" s="2">
        <v>46225.291666666657</v>
      </c>
      <c r="I711">
        <v>12</v>
      </c>
      <c r="J711" t="s">
        <v>61</v>
      </c>
      <c r="K711" t="s">
        <v>731</v>
      </c>
    </row>
    <row r="712" spans="1:11" x14ac:dyDescent="0.2">
      <c r="A712" t="s">
        <v>821</v>
      </c>
      <c r="B712" s="1">
        <v>46224</v>
      </c>
      <c r="C712" t="s">
        <v>100</v>
      </c>
      <c r="D712" t="s">
        <v>730</v>
      </c>
      <c r="E712" t="s">
        <v>29</v>
      </c>
      <c r="F712" t="s">
        <v>23</v>
      </c>
      <c r="G712" s="2">
        <v>46224.291666666657</v>
      </c>
      <c r="H712" s="2">
        <v>46224.791666666657</v>
      </c>
      <c r="I712">
        <v>12</v>
      </c>
      <c r="J712" t="s">
        <v>65</v>
      </c>
      <c r="K712" t="s">
        <v>731</v>
      </c>
    </row>
    <row r="713" spans="1:11" x14ac:dyDescent="0.2">
      <c r="A713" t="s">
        <v>822</v>
      </c>
      <c r="B713" s="1">
        <v>46224</v>
      </c>
      <c r="C713" t="s">
        <v>100</v>
      </c>
      <c r="D713" t="s">
        <v>730</v>
      </c>
      <c r="E713" t="s">
        <v>29</v>
      </c>
      <c r="F713" t="s">
        <v>30</v>
      </c>
      <c r="G713" s="2">
        <v>46224.791666666657</v>
      </c>
      <c r="H713" s="2">
        <v>46225.291666666657</v>
      </c>
      <c r="I713">
        <v>12</v>
      </c>
      <c r="J713" t="s">
        <v>63</v>
      </c>
      <c r="K713" t="s">
        <v>731</v>
      </c>
    </row>
    <row r="714" spans="1:11" x14ac:dyDescent="0.2">
      <c r="A714" t="s">
        <v>823</v>
      </c>
      <c r="B714" s="1">
        <v>46224</v>
      </c>
      <c r="C714" t="s">
        <v>100</v>
      </c>
      <c r="D714" t="s">
        <v>730</v>
      </c>
      <c r="E714" t="s">
        <v>20</v>
      </c>
      <c r="F714" t="s">
        <v>23</v>
      </c>
      <c r="G714" s="2">
        <v>46224.291666666657</v>
      </c>
      <c r="H714" s="2">
        <v>46224.791666666657</v>
      </c>
      <c r="I714">
        <v>12</v>
      </c>
      <c r="J714" t="s">
        <v>67</v>
      </c>
      <c r="K714" t="s">
        <v>731</v>
      </c>
    </row>
    <row r="715" spans="1:11" x14ac:dyDescent="0.2">
      <c r="A715" t="s">
        <v>824</v>
      </c>
      <c r="B715" s="1">
        <v>46224</v>
      </c>
      <c r="C715" t="s">
        <v>100</v>
      </c>
      <c r="D715" t="s">
        <v>730</v>
      </c>
      <c r="E715" t="s">
        <v>20</v>
      </c>
      <c r="F715" t="s">
        <v>30</v>
      </c>
      <c r="G715" s="2">
        <v>46224.791666666657</v>
      </c>
      <c r="H715" s="2">
        <v>46225.291666666657</v>
      </c>
      <c r="I715">
        <v>12</v>
      </c>
      <c r="J715" t="s">
        <v>69</v>
      </c>
      <c r="K715" t="s">
        <v>731</v>
      </c>
    </row>
    <row r="716" spans="1:11" x14ac:dyDescent="0.2">
      <c r="A716" t="s">
        <v>825</v>
      </c>
      <c r="B716" s="1">
        <v>46224</v>
      </c>
      <c r="C716" t="s">
        <v>100</v>
      </c>
      <c r="D716" t="s">
        <v>730</v>
      </c>
      <c r="E716" t="s">
        <v>72</v>
      </c>
      <c r="F716" t="s">
        <v>23</v>
      </c>
      <c r="G716" s="2">
        <v>46224.291666666657</v>
      </c>
      <c r="H716" s="2">
        <v>46224.791666666657</v>
      </c>
      <c r="I716">
        <v>12</v>
      </c>
      <c r="J716" t="s">
        <v>76</v>
      </c>
      <c r="K716" t="s">
        <v>731</v>
      </c>
    </row>
    <row r="717" spans="1:11" x14ac:dyDescent="0.2">
      <c r="A717" t="s">
        <v>826</v>
      </c>
      <c r="B717" s="1">
        <v>46224</v>
      </c>
      <c r="C717" t="s">
        <v>100</v>
      </c>
      <c r="D717" t="s">
        <v>730</v>
      </c>
      <c r="E717" t="s">
        <v>72</v>
      </c>
      <c r="F717" t="s">
        <v>30</v>
      </c>
      <c r="G717" s="2">
        <v>46224.791666666657</v>
      </c>
      <c r="H717" s="2">
        <v>46225.291666666657</v>
      </c>
      <c r="I717">
        <v>12</v>
      </c>
      <c r="J717" t="s">
        <v>78</v>
      </c>
      <c r="K717" t="s">
        <v>731</v>
      </c>
    </row>
    <row r="718" spans="1:11" x14ac:dyDescent="0.2">
      <c r="A718" t="s">
        <v>827</v>
      </c>
      <c r="B718" s="1">
        <v>46224</v>
      </c>
      <c r="C718" t="s">
        <v>100</v>
      </c>
      <c r="D718" t="s">
        <v>730</v>
      </c>
      <c r="E718" t="s">
        <v>56</v>
      </c>
      <c r="F718" t="s">
        <v>23</v>
      </c>
      <c r="G718" s="2">
        <v>46224.291666666657</v>
      </c>
      <c r="H718" s="2">
        <v>46224.791666666657</v>
      </c>
      <c r="I718">
        <v>12</v>
      </c>
      <c r="J718" t="s">
        <v>83</v>
      </c>
      <c r="K718" t="s">
        <v>731</v>
      </c>
    </row>
    <row r="719" spans="1:11" x14ac:dyDescent="0.2">
      <c r="A719" t="s">
        <v>828</v>
      </c>
      <c r="B719" s="1">
        <v>46224</v>
      </c>
      <c r="C719" t="s">
        <v>100</v>
      </c>
      <c r="D719" t="s">
        <v>730</v>
      </c>
      <c r="E719" t="s">
        <v>56</v>
      </c>
      <c r="F719" t="s">
        <v>30</v>
      </c>
      <c r="G719" s="2">
        <v>46224.791666666657</v>
      </c>
      <c r="H719" s="2">
        <v>46225.291666666657</v>
      </c>
      <c r="I719">
        <v>12</v>
      </c>
      <c r="J719" t="s">
        <v>82</v>
      </c>
      <c r="K719" t="s">
        <v>731</v>
      </c>
    </row>
    <row r="720" spans="1:11" x14ac:dyDescent="0.2">
      <c r="A720" t="s">
        <v>829</v>
      </c>
      <c r="B720" s="1">
        <v>46224</v>
      </c>
      <c r="C720" t="s">
        <v>100</v>
      </c>
      <c r="D720" t="s">
        <v>730</v>
      </c>
      <c r="E720" t="s">
        <v>50</v>
      </c>
      <c r="F720" t="s">
        <v>23</v>
      </c>
      <c r="G720" s="2">
        <v>46224.291666666657</v>
      </c>
      <c r="H720" s="2">
        <v>46224.791666666657</v>
      </c>
      <c r="I720">
        <v>12</v>
      </c>
      <c r="J720" t="s">
        <v>88</v>
      </c>
      <c r="K720" t="s">
        <v>731</v>
      </c>
    </row>
    <row r="721" spans="1:11" x14ac:dyDescent="0.2">
      <c r="A721" t="s">
        <v>830</v>
      </c>
      <c r="B721" s="1">
        <v>46224</v>
      </c>
      <c r="C721" t="s">
        <v>100</v>
      </c>
      <c r="D721" t="s">
        <v>730</v>
      </c>
      <c r="E721" t="s">
        <v>50</v>
      </c>
      <c r="F721" t="s">
        <v>30</v>
      </c>
      <c r="G721" s="2">
        <v>46224.791666666657</v>
      </c>
      <c r="H721" s="2">
        <v>46225.291666666657</v>
      </c>
      <c r="I721">
        <v>12</v>
      </c>
      <c r="J721" t="s">
        <v>84</v>
      </c>
      <c r="K721" t="s">
        <v>731</v>
      </c>
    </row>
    <row r="722" spans="1:11" x14ac:dyDescent="0.2">
      <c r="A722" t="s">
        <v>831</v>
      </c>
      <c r="B722" s="1">
        <v>46225</v>
      </c>
      <c r="C722" t="s">
        <v>123</v>
      </c>
      <c r="D722" t="s">
        <v>730</v>
      </c>
      <c r="E722" t="s">
        <v>32</v>
      </c>
      <c r="F722" t="s">
        <v>23</v>
      </c>
      <c r="G722" s="2">
        <v>46225.291666666657</v>
      </c>
      <c r="H722" s="2">
        <v>46225.791666666657</v>
      </c>
      <c r="I722">
        <v>12</v>
      </c>
      <c r="J722" t="s">
        <v>19</v>
      </c>
      <c r="K722" t="s">
        <v>731</v>
      </c>
    </row>
    <row r="723" spans="1:11" x14ac:dyDescent="0.2">
      <c r="A723" t="s">
        <v>832</v>
      </c>
      <c r="B723" s="1">
        <v>46225</v>
      </c>
      <c r="C723" t="s">
        <v>123</v>
      </c>
      <c r="D723" t="s">
        <v>730</v>
      </c>
      <c r="E723" t="s">
        <v>32</v>
      </c>
      <c r="F723" t="s">
        <v>30</v>
      </c>
      <c r="G723" s="2">
        <v>46225.791666666657</v>
      </c>
      <c r="H723" s="2">
        <v>46226.291666666657</v>
      </c>
      <c r="I723">
        <v>12</v>
      </c>
      <c r="J723" t="s">
        <v>13</v>
      </c>
      <c r="K723" t="s">
        <v>731</v>
      </c>
    </row>
    <row r="724" spans="1:11" x14ac:dyDescent="0.2">
      <c r="A724" t="s">
        <v>833</v>
      </c>
      <c r="B724" s="1">
        <v>46225</v>
      </c>
      <c r="C724" t="s">
        <v>123</v>
      </c>
      <c r="D724" t="s">
        <v>730</v>
      </c>
      <c r="E724" t="s">
        <v>48</v>
      </c>
      <c r="F724" t="s">
        <v>23</v>
      </c>
      <c r="G724" s="2">
        <v>46225.291666666657</v>
      </c>
      <c r="H724" s="2">
        <v>46225.791666666657</v>
      </c>
      <c r="I724">
        <v>12</v>
      </c>
      <c r="J724" t="s">
        <v>35</v>
      </c>
      <c r="K724" t="s">
        <v>731</v>
      </c>
    </row>
    <row r="725" spans="1:11" x14ac:dyDescent="0.2">
      <c r="A725" t="s">
        <v>834</v>
      </c>
      <c r="B725" s="1">
        <v>46225</v>
      </c>
      <c r="C725" t="s">
        <v>123</v>
      </c>
      <c r="D725" t="s">
        <v>730</v>
      </c>
      <c r="E725" t="s">
        <v>48</v>
      </c>
      <c r="F725" t="s">
        <v>30</v>
      </c>
      <c r="G725" s="2">
        <v>46225.791666666657</v>
      </c>
      <c r="H725" s="2">
        <v>46226.291666666657</v>
      </c>
      <c r="I725">
        <v>12</v>
      </c>
      <c r="J725" t="s">
        <v>41</v>
      </c>
      <c r="K725" t="s">
        <v>731</v>
      </c>
    </row>
    <row r="726" spans="1:11" x14ac:dyDescent="0.2">
      <c r="A726" t="s">
        <v>835</v>
      </c>
      <c r="B726" s="1">
        <v>46225</v>
      </c>
      <c r="C726" t="s">
        <v>123</v>
      </c>
      <c r="D726" t="s">
        <v>730</v>
      </c>
      <c r="E726" t="s">
        <v>36</v>
      </c>
      <c r="F726" t="s">
        <v>23</v>
      </c>
      <c r="G726" s="2">
        <v>46225.291666666657</v>
      </c>
      <c r="H726" s="2">
        <v>46225.791666666657</v>
      </c>
      <c r="I726">
        <v>12</v>
      </c>
      <c r="J726" t="s">
        <v>46</v>
      </c>
      <c r="K726" t="s">
        <v>731</v>
      </c>
    </row>
    <row r="727" spans="1:11" x14ac:dyDescent="0.2">
      <c r="A727" t="s">
        <v>836</v>
      </c>
      <c r="B727" s="1">
        <v>46225</v>
      </c>
      <c r="C727" t="s">
        <v>123</v>
      </c>
      <c r="D727" t="s">
        <v>730</v>
      </c>
      <c r="E727" t="s">
        <v>36</v>
      </c>
      <c r="F727" t="s">
        <v>30</v>
      </c>
      <c r="G727" s="2">
        <v>46225.791666666657</v>
      </c>
      <c r="H727" s="2">
        <v>46226.291666666657</v>
      </c>
      <c r="I727">
        <v>12</v>
      </c>
      <c r="J727" t="s">
        <v>43</v>
      </c>
      <c r="K727" t="s">
        <v>731</v>
      </c>
    </row>
    <row r="728" spans="1:11" x14ac:dyDescent="0.2">
      <c r="A728" t="s">
        <v>837</v>
      </c>
      <c r="B728" s="1">
        <v>46225</v>
      </c>
      <c r="C728" t="s">
        <v>123</v>
      </c>
      <c r="D728" t="s">
        <v>730</v>
      </c>
      <c r="E728" t="s">
        <v>14</v>
      </c>
      <c r="F728" t="s">
        <v>23</v>
      </c>
      <c r="G728" s="2">
        <v>46225.291666666657</v>
      </c>
      <c r="H728" s="2">
        <v>46225.791666666657</v>
      </c>
      <c r="I728">
        <v>12</v>
      </c>
      <c r="J728" t="s">
        <v>49</v>
      </c>
      <c r="K728" t="s">
        <v>731</v>
      </c>
    </row>
    <row r="729" spans="1:11" x14ac:dyDescent="0.2">
      <c r="A729" t="s">
        <v>838</v>
      </c>
      <c r="B729" s="1">
        <v>46225</v>
      </c>
      <c r="C729" t="s">
        <v>123</v>
      </c>
      <c r="D729" t="s">
        <v>730</v>
      </c>
      <c r="E729" t="s">
        <v>14</v>
      </c>
      <c r="F729" t="s">
        <v>30</v>
      </c>
      <c r="G729" s="2">
        <v>46225.791666666657</v>
      </c>
      <c r="H729" s="2">
        <v>46226.291666666657</v>
      </c>
      <c r="I729">
        <v>12</v>
      </c>
      <c r="J729" t="s">
        <v>53</v>
      </c>
      <c r="K729" t="s">
        <v>731</v>
      </c>
    </row>
    <row r="730" spans="1:11" x14ac:dyDescent="0.2">
      <c r="A730" t="s">
        <v>839</v>
      </c>
      <c r="B730" s="1">
        <v>46225</v>
      </c>
      <c r="C730" t="s">
        <v>123</v>
      </c>
      <c r="D730" t="s">
        <v>730</v>
      </c>
      <c r="E730" t="s">
        <v>38</v>
      </c>
      <c r="F730" t="s">
        <v>23</v>
      </c>
      <c r="G730" s="2">
        <v>46225.291666666657</v>
      </c>
      <c r="H730" s="2">
        <v>46225.791666666657</v>
      </c>
      <c r="I730">
        <v>12</v>
      </c>
      <c r="J730" t="s">
        <v>58</v>
      </c>
      <c r="K730" t="s">
        <v>731</v>
      </c>
    </row>
    <row r="731" spans="1:11" x14ac:dyDescent="0.2">
      <c r="A731" t="s">
        <v>840</v>
      </c>
      <c r="B731" s="1">
        <v>46225</v>
      </c>
      <c r="C731" t="s">
        <v>123</v>
      </c>
      <c r="D731" t="s">
        <v>730</v>
      </c>
      <c r="E731" t="s">
        <v>38</v>
      </c>
      <c r="F731" t="s">
        <v>30</v>
      </c>
      <c r="G731" s="2">
        <v>46225.791666666657</v>
      </c>
      <c r="H731" s="2">
        <v>46226.291666666657</v>
      </c>
      <c r="I731">
        <v>12</v>
      </c>
      <c r="J731" t="s">
        <v>55</v>
      </c>
      <c r="K731" t="s">
        <v>731</v>
      </c>
    </row>
    <row r="732" spans="1:11" x14ac:dyDescent="0.2">
      <c r="A732" t="s">
        <v>841</v>
      </c>
      <c r="B732" s="1">
        <v>46225</v>
      </c>
      <c r="C732" t="s">
        <v>123</v>
      </c>
      <c r="D732" t="s">
        <v>730</v>
      </c>
      <c r="E732" t="s">
        <v>29</v>
      </c>
      <c r="F732" t="s">
        <v>23</v>
      </c>
      <c r="G732" s="2">
        <v>46225.291666666657</v>
      </c>
      <c r="H732" s="2">
        <v>46225.791666666657</v>
      </c>
      <c r="I732">
        <v>12</v>
      </c>
      <c r="J732" t="s">
        <v>64</v>
      </c>
      <c r="K732" t="s">
        <v>731</v>
      </c>
    </row>
    <row r="733" spans="1:11" x14ac:dyDescent="0.2">
      <c r="A733" t="s">
        <v>842</v>
      </c>
      <c r="B733" s="1">
        <v>46225</v>
      </c>
      <c r="C733" t="s">
        <v>123</v>
      </c>
      <c r="D733" t="s">
        <v>730</v>
      </c>
      <c r="E733" t="s">
        <v>29</v>
      </c>
      <c r="F733" t="s">
        <v>30</v>
      </c>
      <c r="G733" s="2">
        <v>46225.791666666657</v>
      </c>
      <c r="H733" s="2">
        <v>46226.291666666657</v>
      </c>
      <c r="I733">
        <v>12</v>
      </c>
      <c r="J733" t="s">
        <v>66</v>
      </c>
      <c r="K733" t="s">
        <v>731</v>
      </c>
    </row>
    <row r="734" spans="1:11" x14ac:dyDescent="0.2">
      <c r="A734" t="s">
        <v>843</v>
      </c>
      <c r="B734" s="1">
        <v>46225</v>
      </c>
      <c r="C734" t="s">
        <v>123</v>
      </c>
      <c r="D734" t="s">
        <v>730</v>
      </c>
      <c r="E734" t="s">
        <v>20</v>
      </c>
      <c r="F734" t="s">
        <v>23</v>
      </c>
      <c r="G734" s="2">
        <v>46225.291666666657</v>
      </c>
      <c r="H734" s="2">
        <v>46225.791666666657</v>
      </c>
      <c r="I734">
        <v>12</v>
      </c>
      <c r="J734" t="s">
        <v>70</v>
      </c>
      <c r="K734" t="s">
        <v>731</v>
      </c>
    </row>
    <row r="735" spans="1:11" x14ac:dyDescent="0.2">
      <c r="A735" t="s">
        <v>844</v>
      </c>
      <c r="B735" s="1">
        <v>46225</v>
      </c>
      <c r="C735" t="s">
        <v>123</v>
      </c>
      <c r="D735" t="s">
        <v>730</v>
      </c>
      <c r="E735" t="s">
        <v>20</v>
      </c>
      <c r="F735" t="s">
        <v>30</v>
      </c>
      <c r="G735" s="2">
        <v>46225.791666666657</v>
      </c>
      <c r="H735" s="2">
        <v>46226.291666666657</v>
      </c>
      <c r="I735">
        <v>12</v>
      </c>
      <c r="J735" t="s">
        <v>67</v>
      </c>
      <c r="K735" t="s">
        <v>731</v>
      </c>
    </row>
    <row r="736" spans="1:11" x14ac:dyDescent="0.2">
      <c r="A736" t="s">
        <v>845</v>
      </c>
      <c r="B736" s="1">
        <v>46225</v>
      </c>
      <c r="C736" t="s">
        <v>123</v>
      </c>
      <c r="D736" t="s">
        <v>730</v>
      </c>
      <c r="E736" t="s">
        <v>72</v>
      </c>
      <c r="F736" t="s">
        <v>23</v>
      </c>
      <c r="G736" s="2">
        <v>46225.291666666657</v>
      </c>
      <c r="H736" s="2">
        <v>46225.791666666657</v>
      </c>
      <c r="I736">
        <v>12</v>
      </c>
      <c r="J736" t="s">
        <v>74</v>
      </c>
      <c r="K736" t="s">
        <v>731</v>
      </c>
    </row>
    <row r="737" spans="1:11" x14ac:dyDescent="0.2">
      <c r="A737" t="s">
        <v>846</v>
      </c>
      <c r="B737" s="1">
        <v>46225</v>
      </c>
      <c r="C737" t="s">
        <v>123</v>
      </c>
      <c r="D737" t="s">
        <v>730</v>
      </c>
      <c r="E737" t="s">
        <v>72</v>
      </c>
      <c r="F737" t="s">
        <v>30</v>
      </c>
      <c r="G737" s="2">
        <v>46225.791666666657</v>
      </c>
      <c r="H737" s="2">
        <v>46226.291666666657</v>
      </c>
      <c r="I737">
        <v>12</v>
      </c>
      <c r="J737" t="s">
        <v>75</v>
      </c>
      <c r="K737" t="s">
        <v>731</v>
      </c>
    </row>
    <row r="738" spans="1:11" x14ac:dyDescent="0.2">
      <c r="A738" t="s">
        <v>847</v>
      </c>
      <c r="B738" s="1">
        <v>46225</v>
      </c>
      <c r="C738" t="s">
        <v>123</v>
      </c>
      <c r="D738" t="s">
        <v>730</v>
      </c>
      <c r="E738" t="s">
        <v>56</v>
      </c>
      <c r="F738" t="s">
        <v>23</v>
      </c>
      <c r="G738" s="2">
        <v>46225.291666666657</v>
      </c>
      <c r="H738" s="2">
        <v>46225.791666666657</v>
      </c>
      <c r="I738">
        <v>12</v>
      </c>
      <c r="J738" t="s">
        <v>82</v>
      </c>
      <c r="K738" t="s">
        <v>731</v>
      </c>
    </row>
    <row r="739" spans="1:11" x14ac:dyDescent="0.2">
      <c r="A739" t="s">
        <v>848</v>
      </c>
      <c r="B739" s="1">
        <v>46225</v>
      </c>
      <c r="C739" t="s">
        <v>123</v>
      </c>
      <c r="D739" t="s">
        <v>730</v>
      </c>
      <c r="E739" t="s">
        <v>56</v>
      </c>
      <c r="F739" t="s">
        <v>30</v>
      </c>
      <c r="G739" s="2">
        <v>46225.791666666657</v>
      </c>
      <c r="H739" s="2">
        <v>46226.291666666657</v>
      </c>
      <c r="I739">
        <v>12</v>
      </c>
      <c r="J739" t="s">
        <v>79</v>
      </c>
      <c r="K739" t="s">
        <v>731</v>
      </c>
    </row>
    <row r="740" spans="1:11" x14ac:dyDescent="0.2">
      <c r="A740" t="s">
        <v>849</v>
      </c>
      <c r="B740" s="1">
        <v>46225</v>
      </c>
      <c r="C740" t="s">
        <v>123</v>
      </c>
      <c r="D740" t="s">
        <v>730</v>
      </c>
      <c r="E740" t="s">
        <v>50</v>
      </c>
      <c r="F740" t="s">
        <v>23</v>
      </c>
      <c r="G740" s="2">
        <v>46225.291666666657</v>
      </c>
      <c r="H740" s="2">
        <v>46225.791666666657</v>
      </c>
      <c r="I740">
        <v>12</v>
      </c>
      <c r="J740" t="s">
        <v>87</v>
      </c>
      <c r="K740" t="s">
        <v>731</v>
      </c>
    </row>
    <row r="741" spans="1:11" x14ac:dyDescent="0.2">
      <c r="A741" t="s">
        <v>850</v>
      </c>
      <c r="B741" s="1">
        <v>46225</v>
      </c>
      <c r="C741" t="s">
        <v>123</v>
      </c>
      <c r="D741" t="s">
        <v>730</v>
      </c>
      <c r="E741" t="s">
        <v>50</v>
      </c>
      <c r="F741" t="s">
        <v>30</v>
      </c>
      <c r="G741" s="2">
        <v>46225.791666666657</v>
      </c>
      <c r="H741" s="2">
        <v>46226.291666666657</v>
      </c>
      <c r="I741">
        <v>12</v>
      </c>
      <c r="J741" t="s">
        <v>85</v>
      </c>
      <c r="K741" t="s">
        <v>731</v>
      </c>
    </row>
    <row r="742" spans="1:11" x14ac:dyDescent="0.2">
      <c r="A742" t="s">
        <v>851</v>
      </c>
      <c r="B742" s="1">
        <v>46226</v>
      </c>
      <c r="C742" t="s">
        <v>144</v>
      </c>
      <c r="D742" t="s">
        <v>730</v>
      </c>
      <c r="E742" t="s">
        <v>32</v>
      </c>
      <c r="F742" t="s">
        <v>23</v>
      </c>
      <c r="G742" s="2">
        <v>46226.291666666657</v>
      </c>
      <c r="H742" s="2">
        <v>46226.791666666657</v>
      </c>
      <c r="I742">
        <v>12</v>
      </c>
      <c r="J742" t="s">
        <v>31</v>
      </c>
      <c r="K742" t="s">
        <v>731</v>
      </c>
    </row>
    <row r="743" spans="1:11" x14ac:dyDescent="0.2">
      <c r="A743" t="s">
        <v>852</v>
      </c>
      <c r="B743" s="1">
        <v>46226</v>
      </c>
      <c r="C743" t="s">
        <v>144</v>
      </c>
      <c r="D743" t="s">
        <v>730</v>
      </c>
      <c r="E743" t="s">
        <v>32</v>
      </c>
      <c r="F743" t="s">
        <v>30</v>
      </c>
      <c r="G743" s="2">
        <v>46226.791666666657</v>
      </c>
      <c r="H743" s="2">
        <v>46227.291666666657</v>
      </c>
      <c r="I743">
        <v>12</v>
      </c>
      <c r="J743" t="s">
        <v>13</v>
      </c>
      <c r="K743" t="s">
        <v>731</v>
      </c>
    </row>
    <row r="744" spans="1:11" x14ac:dyDescent="0.2">
      <c r="A744" t="s">
        <v>853</v>
      </c>
      <c r="B744" s="1">
        <v>46226</v>
      </c>
      <c r="C744" t="s">
        <v>144</v>
      </c>
      <c r="D744" t="s">
        <v>730</v>
      </c>
      <c r="E744" t="s">
        <v>48</v>
      </c>
      <c r="F744" t="s">
        <v>23</v>
      </c>
      <c r="G744" s="2">
        <v>46226.291666666657</v>
      </c>
      <c r="H744" s="2">
        <v>46226.791666666657</v>
      </c>
      <c r="I744">
        <v>12</v>
      </c>
      <c r="J744" t="s">
        <v>40</v>
      </c>
      <c r="K744" t="s">
        <v>731</v>
      </c>
    </row>
    <row r="745" spans="1:11" x14ac:dyDescent="0.2">
      <c r="A745" t="s">
        <v>854</v>
      </c>
      <c r="B745" s="1">
        <v>46226</v>
      </c>
      <c r="C745" t="s">
        <v>144</v>
      </c>
      <c r="D745" t="s">
        <v>730</v>
      </c>
      <c r="E745" t="s">
        <v>48</v>
      </c>
      <c r="F745" t="s">
        <v>30</v>
      </c>
      <c r="G745" s="2">
        <v>46226.791666666657</v>
      </c>
      <c r="H745" s="2">
        <v>46227.291666666657</v>
      </c>
      <c r="I745">
        <v>12</v>
      </c>
      <c r="J745" t="s">
        <v>35</v>
      </c>
      <c r="K745" t="s">
        <v>731</v>
      </c>
    </row>
    <row r="746" spans="1:11" x14ac:dyDescent="0.2">
      <c r="A746" t="s">
        <v>855</v>
      </c>
      <c r="B746" s="1">
        <v>46226</v>
      </c>
      <c r="C746" t="s">
        <v>144</v>
      </c>
      <c r="D746" t="s">
        <v>730</v>
      </c>
      <c r="E746" t="s">
        <v>36</v>
      </c>
      <c r="F746" t="s">
        <v>23</v>
      </c>
      <c r="G746" s="2">
        <v>46226.291666666657</v>
      </c>
      <c r="H746" s="2">
        <v>46226.791666666657</v>
      </c>
      <c r="I746">
        <v>12</v>
      </c>
      <c r="J746" t="s">
        <v>43</v>
      </c>
      <c r="K746" t="s">
        <v>731</v>
      </c>
    </row>
    <row r="747" spans="1:11" x14ac:dyDescent="0.2">
      <c r="A747" t="s">
        <v>856</v>
      </c>
      <c r="B747" s="1">
        <v>46226</v>
      </c>
      <c r="C747" t="s">
        <v>144</v>
      </c>
      <c r="D747" t="s">
        <v>730</v>
      </c>
      <c r="E747" t="s">
        <v>36</v>
      </c>
      <c r="F747" t="s">
        <v>30</v>
      </c>
      <c r="G747" s="2">
        <v>46226.791666666657</v>
      </c>
      <c r="H747" s="2">
        <v>46227.291666666657</v>
      </c>
      <c r="I747">
        <v>12</v>
      </c>
      <c r="J747" t="s">
        <v>46</v>
      </c>
      <c r="K747" t="s">
        <v>731</v>
      </c>
    </row>
    <row r="748" spans="1:11" x14ac:dyDescent="0.2">
      <c r="A748" t="s">
        <v>857</v>
      </c>
      <c r="B748" s="1">
        <v>46226</v>
      </c>
      <c r="C748" t="s">
        <v>144</v>
      </c>
      <c r="D748" t="s">
        <v>730</v>
      </c>
      <c r="E748" t="s">
        <v>14</v>
      </c>
      <c r="F748" t="s">
        <v>23</v>
      </c>
      <c r="G748" s="2">
        <v>46226.291666666657</v>
      </c>
      <c r="H748" s="2">
        <v>46226.791666666657</v>
      </c>
      <c r="I748">
        <v>12</v>
      </c>
      <c r="J748" t="s">
        <v>52</v>
      </c>
      <c r="K748" t="s">
        <v>731</v>
      </c>
    </row>
    <row r="749" spans="1:11" x14ac:dyDescent="0.2">
      <c r="A749" t="s">
        <v>858</v>
      </c>
      <c r="B749" s="1">
        <v>46226</v>
      </c>
      <c r="C749" t="s">
        <v>144</v>
      </c>
      <c r="D749" t="s">
        <v>730</v>
      </c>
      <c r="E749" t="s">
        <v>14</v>
      </c>
      <c r="F749" t="s">
        <v>30</v>
      </c>
      <c r="G749" s="2">
        <v>46226.791666666657</v>
      </c>
      <c r="H749" s="2">
        <v>46227.291666666657</v>
      </c>
      <c r="I749">
        <v>12</v>
      </c>
      <c r="J749" t="s">
        <v>53</v>
      </c>
      <c r="K749" t="s">
        <v>731</v>
      </c>
    </row>
    <row r="750" spans="1:11" x14ac:dyDescent="0.2">
      <c r="A750" t="s">
        <v>859</v>
      </c>
      <c r="B750" s="1">
        <v>46226</v>
      </c>
      <c r="C750" t="s">
        <v>144</v>
      </c>
      <c r="D750" t="s">
        <v>730</v>
      </c>
      <c r="E750" t="s">
        <v>38</v>
      </c>
      <c r="F750" t="s">
        <v>23</v>
      </c>
      <c r="G750" s="2">
        <v>46226.291666666657</v>
      </c>
      <c r="H750" s="2">
        <v>46226.791666666657</v>
      </c>
      <c r="I750">
        <v>12</v>
      </c>
      <c r="J750" t="s">
        <v>58</v>
      </c>
      <c r="K750" t="s">
        <v>731</v>
      </c>
    </row>
    <row r="751" spans="1:11" x14ac:dyDescent="0.2">
      <c r="A751" t="s">
        <v>860</v>
      </c>
      <c r="B751" s="1">
        <v>46226</v>
      </c>
      <c r="C751" t="s">
        <v>144</v>
      </c>
      <c r="D751" t="s">
        <v>730</v>
      </c>
      <c r="E751" t="s">
        <v>38</v>
      </c>
      <c r="F751" t="s">
        <v>30</v>
      </c>
      <c r="G751" s="2">
        <v>46226.791666666657</v>
      </c>
      <c r="H751" s="2">
        <v>46227.291666666657</v>
      </c>
      <c r="I751">
        <v>12</v>
      </c>
      <c r="J751" t="s">
        <v>61</v>
      </c>
      <c r="K751" t="s">
        <v>731</v>
      </c>
    </row>
    <row r="752" spans="1:11" x14ac:dyDescent="0.2">
      <c r="A752" t="s">
        <v>861</v>
      </c>
      <c r="B752" s="1">
        <v>46226</v>
      </c>
      <c r="C752" t="s">
        <v>144</v>
      </c>
      <c r="D752" t="s">
        <v>730</v>
      </c>
      <c r="E752" t="s">
        <v>29</v>
      </c>
      <c r="F752" t="s">
        <v>23</v>
      </c>
      <c r="G752" s="2">
        <v>46226.291666666657</v>
      </c>
      <c r="H752" s="2">
        <v>46226.791666666657</v>
      </c>
      <c r="I752">
        <v>12</v>
      </c>
      <c r="J752" t="s">
        <v>63</v>
      </c>
      <c r="K752" t="s">
        <v>731</v>
      </c>
    </row>
    <row r="753" spans="1:11" x14ac:dyDescent="0.2">
      <c r="A753" t="s">
        <v>862</v>
      </c>
      <c r="B753" s="1">
        <v>46226</v>
      </c>
      <c r="C753" t="s">
        <v>144</v>
      </c>
      <c r="D753" t="s">
        <v>730</v>
      </c>
      <c r="E753" t="s">
        <v>29</v>
      </c>
      <c r="F753" t="s">
        <v>30</v>
      </c>
      <c r="G753" s="2">
        <v>46226.791666666657</v>
      </c>
      <c r="H753" s="2">
        <v>46227.291666666657</v>
      </c>
      <c r="I753">
        <v>12</v>
      </c>
      <c r="J753" t="s">
        <v>64</v>
      </c>
      <c r="K753" t="s">
        <v>731</v>
      </c>
    </row>
    <row r="754" spans="1:11" x14ac:dyDescent="0.2">
      <c r="A754" t="s">
        <v>863</v>
      </c>
      <c r="B754" s="1">
        <v>46226</v>
      </c>
      <c r="C754" t="s">
        <v>144</v>
      </c>
      <c r="D754" t="s">
        <v>730</v>
      </c>
      <c r="E754" t="s">
        <v>20</v>
      </c>
      <c r="F754" t="s">
        <v>23</v>
      </c>
      <c r="G754" s="2">
        <v>46226.291666666657</v>
      </c>
      <c r="H754" s="2">
        <v>46226.791666666657</v>
      </c>
      <c r="I754">
        <v>12</v>
      </c>
      <c r="J754" t="s">
        <v>70</v>
      </c>
      <c r="K754" t="s">
        <v>731</v>
      </c>
    </row>
    <row r="755" spans="1:11" x14ac:dyDescent="0.2">
      <c r="A755" t="s">
        <v>864</v>
      </c>
      <c r="B755" s="1">
        <v>46226</v>
      </c>
      <c r="C755" t="s">
        <v>144</v>
      </c>
      <c r="D755" t="s">
        <v>730</v>
      </c>
      <c r="E755" t="s">
        <v>20</v>
      </c>
      <c r="F755" t="s">
        <v>30</v>
      </c>
      <c r="G755" s="2">
        <v>46226.791666666657</v>
      </c>
      <c r="H755" s="2">
        <v>46227.291666666657</v>
      </c>
      <c r="I755">
        <v>12</v>
      </c>
      <c r="J755" t="s">
        <v>71</v>
      </c>
      <c r="K755" t="s">
        <v>731</v>
      </c>
    </row>
    <row r="756" spans="1:11" x14ac:dyDescent="0.2">
      <c r="A756" t="s">
        <v>865</v>
      </c>
      <c r="B756" s="1">
        <v>46226</v>
      </c>
      <c r="C756" t="s">
        <v>144</v>
      </c>
      <c r="D756" t="s">
        <v>730</v>
      </c>
      <c r="E756" t="s">
        <v>72</v>
      </c>
      <c r="F756" t="s">
        <v>23</v>
      </c>
      <c r="G756" s="2">
        <v>46226.291666666657</v>
      </c>
      <c r="H756" s="2">
        <v>46226.791666666657</v>
      </c>
      <c r="I756">
        <v>12</v>
      </c>
      <c r="J756" t="s">
        <v>75</v>
      </c>
      <c r="K756" t="s">
        <v>731</v>
      </c>
    </row>
    <row r="757" spans="1:11" x14ac:dyDescent="0.2">
      <c r="A757" t="s">
        <v>866</v>
      </c>
      <c r="B757" s="1">
        <v>46226</v>
      </c>
      <c r="C757" t="s">
        <v>144</v>
      </c>
      <c r="D757" t="s">
        <v>730</v>
      </c>
      <c r="E757" t="s">
        <v>72</v>
      </c>
      <c r="F757" t="s">
        <v>30</v>
      </c>
      <c r="G757" s="2">
        <v>46226.791666666657</v>
      </c>
      <c r="H757" s="2">
        <v>46227.291666666657</v>
      </c>
      <c r="I757">
        <v>12</v>
      </c>
      <c r="J757" t="s">
        <v>74</v>
      </c>
      <c r="K757" t="s">
        <v>731</v>
      </c>
    </row>
    <row r="758" spans="1:11" x14ac:dyDescent="0.2">
      <c r="A758" t="s">
        <v>867</v>
      </c>
      <c r="B758" s="1">
        <v>46226</v>
      </c>
      <c r="C758" t="s">
        <v>144</v>
      </c>
      <c r="D758" t="s">
        <v>730</v>
      </c>
      <c r="E758" t="s">
        <v>56</v>
      </c>
      <c r="F758" t="s">
        <v>23</v>
      </c>
      <c r="G758" s="2">
        <v>46226.291666666657</v>
      </c>
      <c r="H758" s="2">
        <v>46226.791666666657</v>
      </c>
      <c r="I758">
        <v>12</v>
      </c>
      <c r="J758" t="s">
        <v>80</v>
      </c>
      <c r="K758" t="s">
        <v>731</v>
      </c>
    </row>
    <row r="759" spans="1:11" x14ac:dyDescent="0.2">
      <c r="A759" t="s">
        <v>868</v>
      </c>
      <c r="B759" s="1">
        <v>46226</v>
      </c>
      <c r="C759" t="s">
        <v>144</v>
      </c>
      <c r="D759" t="s">
        <v>730</v>
      </c>
      <c r="E759" t="s">
        <v>56</v>
      </c>
      <c r="F759" t="s">
        <v>30</v>
      </c>
      <c r="G759" s="2">
        <v>46226.791666666657</v>
      </c>
      <c r="H759" s="2">
        <v>46227.291666666657</v>
      </c>
      <c r="I759">
        <v>12</v>
      </c>
      <c r="J759" t="s">
        <v>79</v>
      </c>
      <c r="K759" t="s">
        <v>731</v>
      </c>
    </row>
    <row r="760" spans="1:11" x14ac:dyDescent="0.2">
      <c r="A760" t="s">
        <v>869</v>
      </c>
      <c r="B760" s="1">
        <v>46226</v>
      </c>
      <c r="C760" t="s">
        <v>144</v>
      </c>
      <c r="D760" t="s">
        <v>730</v>
      </c>
      <c r="E760" t="s">
        <v>50</v>
      </c>
      <c r="F760" t="s">
        <v>23</v>
      </c>
      <c r="G760" s="2">
        <v>46226.291666666657</v>
      </c>
      <c r="H760" s="2">
        <v>46226.791666666657</v>
      </c>
      <c r="I760">
        <v>12</v>
      </c>
      <c r="J760" t="s">
        <v>87</v>
      </c>
      <c r="K760" t="s">
        <v>731</v>
      </c>
    </row>
    <row r="761" spans="1:11" x14ac:dyDescent="0.2">
      <c r="A761" t="s">
        <v>870</v>
      </c>
      <c r="B761" s="1">
        <v>46226</v>
      </c>
      <c r="C761" t="s">
        <v>144</v>
      </c>
      <c r="D761" t="s">
        <v>730</v>
      </c>
      <c r="E761" t="s">
        <v>50</v>
      </c>
      <c r="F761" t="s">
        <v>30</v>
      </c>
      <c r="G761" s="2">
        <v>46226.791666666657</v>
      </c>
      <c r="H761" s="2">
        <v>46227.291666666657</v>
      </c>
      <c r="I761">
        <v>12</v>
      </c>
      <c r="J761" t="s">
        <v>85</v>
      </c>
      <c r="K761" t="s">
        <v>731</v>
      </c>
    </row>
    <row r="762" spans="1:11" x14ac:dyDescent="0.2">
      <c r="A762" t="s">
        <v>871</v>
      </c>
      <c r="B762" s="1">
        <v>46227</v>
      </c>
      <c r="C762" t="s">
        <v>165</v>
      </c>
      <c r="D762" t="s">
        <v>730</v>
      </c>
      <c r="E762" t="s">
        <v>32</v>
      </c>
      <c r="F762" t="s">
        <v>23</v>
      </c>
      <c r="G762" s="2">
        <v>46227.291666666657</v>
      </c>
      <c r="H762" s="2">
        <v>46227.791666666657</v>
      </c>
      <c r="I762">
        <v>12</v>
      </c>
      <c r="J762" t="s">
        <v>13</v>
      </c>
      <c r="K762" t="s">
        <v>731</v>
      </c>
    </row>
    <row r="763" spans="1:11" x14ac:dyDescent="0.2">
      <c r="A763" t="s">
        <v>872</v>
      </c>
      <c r="B763" s="1">
        <v>46227</v>
      </c>
      <c r="C763" t="s">
        <v>165</v>
      </c>
      <c r="D763" t="s">
        <v>730</v>
      </c>
      <c r="E763" t="s">
        <v>32</v>
      </c>
      <c r="F763" t="s">
        <v>30</v>
      </c>
      <c r="G763" s="2">
        <v>46227.791666666657</v>
      </c>
      <c r="H763" s="2">
        <v>46228.291666666657</v>
      </c>
      <c r="I763">
        <v>12</v>
      </c>
      <c r="J763" t="s">
        <v>19</v>
      </c>
      <c r="K763" t="s">
        <v>731</v>
      </c>
    </row>
    <row r="764" spans="1:11" x14ac:dyDescent="0.2">
      <c r="A764" t="s">
        <v>873</v>
      </c>
      <c r="B764" s="1">
        <v>46227</v>
      </c>
      <c r="C764" t="s">
        <v>165</v>
      </c>
      <c r="D764" t="s">
        <v>730</v>
      </c>
      <c r="E764" t="s">
        <v>48</v>
      </c>
      <c r="F764" t="s">
        <v>23</v>
      </c>
      <c r="G764" s="2">
        <v>46227.291666666657</v>
      </c>
      <c r="H764" s="2">
        <v>46227.791666666657</v>
      </c>
      <c r="I764">
        <v>12</v>
      </c>
      <c r="J764" t="s">
        <v>41</v>
      </c>
      <c r="K764" t="s">
        <v>731</v>
      </c>
    </row>
    <row r="765" spans="1:11" x14ac:dyDescent="0.2">
      <c r="A765" t="s">
        <v>874</v>
      </c>
      <c r="B765" s="1">
        <v>46227</v>
      </c>
      <c r="C765" t="s">
        <v>165</v>
      </c>
      <c r="D765" t="s">
        <v>730</v>
      </c>
      <c r="E765" t="s">
        <v>48</v>
      </c>
      <c r="F765" t="s">
        <v>30</v>
      </c>
      <c r="G765" s="2">
        <v>46227.791666666657</v>
      </c>
      <c r="H765" s="2">
        <v>46228.291666666657</v>
      </c>
      <c r="I765">
        <v>12</v>
      </c>
      <c r="J765" t="s">
        <v>35</v>
      </c>
      <c r="K765" t="s">
        <v>731</v>
      </c>
    </row>
    <row r="766" spans="1:11" x14ac:dyDescent="0.2">
      <c r="A766" t="s">
        <v>875</v>
      </c>
      <c r="B766" s="1">
        <v>46227</v>
      </c>
      <c r="C766" t="s">
        <v>165</v>
      </c>
      <c r="D766" t="s">
        <v>730</v>
      </c>
      <c r="E766" t="s">
        <v>36</v>
      </c>
      <c r="F766" t="s">
        <v>23</v>
      </c>
      <c r="G766" s="2">
        <v>46227.291666666657</v>
      </c>
      <c r="H766" s="2">
        <v>46227.791666666657</v>
      </c>
      <c r="I766">
        <v>12</v>
      </c>
      <c r="J766" t="s">
        <v>45</v>
      </c>
      <c r="K766" t="s">
        <v>731</v>
      </c>
    </row>
    <row r="767" spans="1:11" x14ac:dyDescent="0.2">
      <c r="A767" t="s">
        <v>876</v>
      </c>
      <c r="B767" s="1">
        <v>46227</v>
      </c>
      <c r="C767" t="s">
        <v>165</v>
      </c>
      <c r="D767" t="s">
        <v>730</v>
      </c>
      <c r="E767" t="s">
        <v>36</v>
      </c>
      <c r="F767" t="s">
        <v>30</v>
      </c>
      <c r="G767" s="2">
        <v>46227.791666666657</v>
      </c>
      <c r="H767" s="2">
        <v>46228.291666666657</v>
      </c>
      <c r="I767">
        <v>12</v>
      </c>
      <c r="J767" t="s">
        <v>43</v>
      </c>
      <c r="K767" t="s">
        <v>731</v>
      </c>
    </row>
    <row r="768" spans="1:11" x14ac:dyDescent="0.2">
      <c r="A768" t="s">
        <v>877</v>
      </c>
      <c r="B768" s="1">
        <v>46227</v>
      </c>
      <c r="C768" t="s">
        <v>165</v>
      </c>
      <c r="D768" t="s">
        <v>730</v>
      </c>
      <c r="E768" t="s">
        <v>14</v>
      </c>
      <c r="F768" t="s">
        <v>23</v>
      </c>
      <c r="G768" s="2">
        <v>46227.291666666657</v>
      </c>
      <c r="H768" s="2">
        <v>46227.791666666657</v>
      </c>
      <c r="I768">
        <v>12</v>
      </c>
      <c r="J768" t="s">
        <v>49</v>
      </c>
      <c r="K768" t="s">
        <v>731</v>
      </c>
    </row>
    <row r="769" spans="1:11" x14ac:dyDescent="0.2">
      <c r="A769" t="s">
        <v>878</v>
      </c>
      <c r="B769" s="1">
        <v>46227</v>
      </c>
      <c r="C769" t="s">
        <v>165</v>
      </c>
      <c r="D769" t="s">
        <v>730</v>
      </c>
      <c r="E769" t="s">
        <v>14</v>
      </c>
      <c r="F769" t="s">
        <v>30</v>
      </c>
      <c r="G769" s="2">
        <v>46227.791666666657</v>
      </c>
      <c r="H769" s="2">
        <v>46228.291666666657</v>
      </c>
      <c r="I769">
        <v>12</v>
      </c>
      <c r="J769" t="s">
        <v>52</v>
      </c>
      <c r="K769" t="s">
        <v>731</v>
      </c>
    </row>
    <row r="770" spans="1:11" x14ac:dyDescent="0.2">
      <c r="A770" t="s">
        <v>879</v>
      </c>
      <c r="B770" s="1">
        <v>46227</v>
      </c>
      <c r="C770" t="s">
        <v>165</v>
      </c>
      <c r="D770" t="s">
        <v>730</v>
      </c>
      <c r="E770" t="s">
        <v>38</v>
      </c>
      <c r="F770" t="s">
        <v>23</v>
      </c>
      <c r="G770" s="2">
        <v>46227.291666666657</v>
      </c>
      <c r="H770" s="2">
        <v>46227.791666666657</v>
      </c>
      <c r="I770">
        <v>12</v>
      </c>
      <c r="J770" t="s">
        <v>61</v>
      </c>
      <c r="K770" t="s">
        <v>731</v>
      </c>
    </row>
    <row r="771" spans="1:11" x14ac:dyDescent="0.2">
      <c r="A771" t="s">
        <v>880</v>
      </c>
      <c r="B771" s="1">
        <v>46227</v>
      </c>
      <c r="C771" t="s">
        <v>165</v>
      </c>
      <c r="D771" t="s">
        <v>730</v>
      </c>
      <c r="E771" t="s">
        <v>38</v>
      </c>
      <c r="F771" t="s">
        <v>30</v>
      </c>
      <c r="G771" s="2">
        <v>46227.791666666657</v>
      </c>
      <c r="H771" s="2">
        <v>46228.291666666657</v>
      </c>
      <c r="I771">
        <v>12</v>
      </c>
      <c r="J771" t="s">
        <v>58</v>
      </c>
      <c r="K771" t="s">
        <v>731</v>
      </c>
    </row>
    <row r="772" spans="1:11" x14ac:dyDescent="0.2">
      <c r="A772" t="s">
        <v>881</v>
      </c>
      <c r="B772" s="1">
        <v>46227</v>
      </c>
      <c r="C772" t="s">
        <v>165</v>
      </c>
      <c r="D772" t="s">
        <v>730</v>
      </c>
      <c r="E772" t="s">
        <v>29</v>
      </c>
      <c r="F772" t="s">
        <v>23</v>
      </c>
      <c r="G772" s="2">
        <v>46227.291666666657</v>
      </c>
      <c r="H772" s="2">
        <v>46227.791666666657</v>
      </c>
      <c r="I772">
        <v>12</v>
      </c>
      <c r="J772" t="s">
        <v>64</v>
      </c>
      <c r="K772" t="s">
        <v>731</v>
      </c>
    </row>
    <row r="773" spans="1:11" x14ac:dyDescent="0.2">
      <c r="A773" t="s">
        <v>882</v>
      </c>
      <c r="B773" s="1">
        <v>46227</v>
      </c>
      <c r="C773" t="s">
        <v>165</v>
      </c>
      <c r="D773" t="s">
        <v>730</v>
      </c>
      <c r="E773" t="s">
        <v>29</v>
      </c>
      <c r="F773" t="s">
        <v>30</v>
      </c>
      <c r="G773" s="2">
        <v>46227.791666666657</v>
      </c>
      <c r="H773" s="2">
        <v>46228.291666666657</v>
      </c>
      <c r="I773">
        <v>12</v>
      </c>
      <c r="J773" t="s">
        <v>66</v>
      </c>
      <c r="K773" t="s">
        <v>731</v>
      </c>
    </row>
    <row r="774" spans="1:11" x14ac:dyDescent="0.2">
      <c r="A774" t="s">
        <v>883</v>
      </c>
      <c r="B774" s="1">
        <v>46227</v>
      </c>
      <c r="C774" t="s">
        <v>165</v>
      </c>
      <c r="D774" t="s">
        <v>730</v>
      </c>
      <c r="E774" t="s">
        <v>20</v>
      </c>
      <c r="F774" t="s">
        <v>23</v>
      </c>
      <c r="G774" s="2">
        <v>46227.291666666657</v>
      </c>
      <c r="H774" s="2">
        <v>46227.791666666657</v>
      </c>
      <c r="I774">
        <v>12</v>
      </c>
      <c r="J774" t="s">
        <v>70</v>
      </c>
      <c r="K774" t="s">
        <v>731</v>
      </c>
    </row>
    <row r="775" spans="1:11" x14ac:dyDescent="0.2">
      <c r="A775" t="s">
        <v>884</v>
      </c>
      <c r="B775" s="1">
        <v>46227</v>
      </c>
      <c r="C775" t="s">
        <v>165</v>
      </c>
      <c r="D775" t="s">
        <v>730</v>
      </c>
      <c r="E775" t="s">
        <v>20</v>
      </c>
      <c r="F775" t="s">
        <v>30</v>
      </c>
      <c r="G775" s="2">
        <v>46227.791666666657</v>
      </c>
      <c r="H775" s="2">
        <v>46228.291666666657</v>
      </c>
      <c r="I775">
        <v>12</v>
      </c>
      <c r="J775" t="s">
        <v>69</v>
      </c>
      <c r="K775" t="s">
        <v>731</v>
      </c>
    </row>
    <row r="776" spans="1:11" x14ac:dyDescent="0.2">
      <c r="A776" t="s">
        <v>885</v>
      </c>
      <c r="B776" s="1">
        <v>46227</v>
      </c>
      <c r="C776" t="s">
        <v>165</v>
      </c>
      <c r="D776" t="s">
        <v>730</v>
      </c>
      <c r="E776" t="s">
        <v>72</v>
      </c>
      <c r="F776" t="s">
        <v>23</v>
      </c>
      <c r="G776" s="2">
        <v>46227.291666666657</v>
      </c>
      <c r="H776" s="2">
        <v>46227.791666666657</v>
      </c>
      <c r="I776">
        <v>12</v>
      </c>
      <c r="J776" t="s">
        <v>76</v>
      </c>
      <c r="K776" t="s">
        <v>731</v>
      </c>
    </row>
    <row r="777" spans="1:11" x14ac:dyDescent="0.2">
      <c r="A777" t="s">
        <v>886</v>
      </c>
      <c r="B777" s="1">
        <v>46227</v>
      </c>
      <c r="C777" t="s">
        <v>165</v>
      </c>
      <c r="D777" t="s">
        <v>730</v>
      </c>
      <c r="E777" t="s">
        <v>72</v>
      </c>
      <c r="F777" t="s">
        <v>30</v>
      </c>
      <c r="G777" s="2">
        <v>46227.791666666657</v>
      </c>
      <c r="H777" s="2">
        <v>46228.291666666657</v>
      </c>
      <c r="I777">
        <v>12</v>
      </c>
      <c r="J777" t="s">
        <v>78</v>
      </c>
      <c r="K777" t="s">
        <v>731</v>
      </c>
    </row>
    <row r="778" spans="1:11" x14ac:dyDescent="0.2">
      <c r="A778" t="s">
        <v>887</v>
      </c>
      <c r="B778" s="1">
        <v>46227</v>
      </c>
      <c r="C778" t="s">
        <v>165</v>
      </c>
      <c r="D778" t="s">
        <v>730</v>
      </c>
      <c r="E778" t="s">
        <v>56</v>
      </c>
      <c r="F778" t="s">
        <v>23</v>
      </c>
      <c r="G778" s="2">
        <v>46227.291666666657</v>
      </c>
      <c r="H778" s="2">
        <v>46227.791666666657</v>
      </c>
      <c r="I778">
        <v>12</v>
      </c>
      <c r="J778" t="s">
        <v>81</v>
      </c>
      <c r="K778" t="s">
        <v>731</v>
      </c>
    </row>
    <row r="779" spans="1:11" x14ac:dyDescent="0.2">
      <c r="A779" t="s">
        <v>888</v>
      </c>
      <c r="B779" s="1">
        <v>46227</v>
      </c>
      <c r="C779" t="s">
        <v>165</v>
      </c>
      <c r="D779" t="s">
        <v>730</v>
      </c>
      <c r="E779" t="s">
        <v>56</v>
      </c>
      <c r="F779" t="s">
        <v>30</v>
      </c>
      <c r="G779" s="2">
        <v>46227.791666666657</v>
      </c>
      <c r="H779" s="2">
        <v>46228.291666666657</v>
      </c>
      <c r="I779">
        <v>12</v>
      </c>
      <c r="J779" t="s">
        <v>82</v>
      </c>
      <c r="K779" t="s">
        <v>731</v>
      </c>
    </row>
    <row r="780" spans="1:11" x14ac:dyDescent="0.2">
      <c r="A780" t="s">
        <v>889</v>
      </c>
      <c r="B780" s="1">
        <v>46227</v>
      </c>
      <c r="C780" t="s">
        <v>165</v>
      </c>
      <c r="D780" t="s">
        <v>730</v>
      </c>
      <c r="E780" t="s">
        <v>50</v>
      </c>
      <c r="F780" t="s">
        <v>23</v>
      </c>
      <c r="G780" s="2">
        <v>46227.291666666657</v>
      </c>
      <c r="H780" s="2">
        <v>46227.791666666657</v>
      </c>
      <c r="I780">
        <v>12</v>
      </c>
      <c r="J780" t="s">
        <v>87</v>
      </c>
      <c r="K780" t="s">
        <v>731</v>
      </c>
    </row>
    <row r="781" spans="1:11" x14ac:dyDescent="0.2">
      <c r="A781" t="s">
        <v>890</v>
      </c>
      <c r="B781" s="1">
        <v>46227</v>
      </c>
      <c r="C781" t="s">
        <v>165</v>
      </c>
      <c r="D781" t="s">
        <v>730</v>
      </c>
      <c r="E781" t="s">
        <v>50</v>
      </c>
      <c r="F781" t="s">
        <v>30</v>
      </c>
      <c r="G781" s="2">
        <v>46227.791666666657</v>
      </c>
      <c r="H781" s="2">
        <v>46228.291666666657</v>
      </c>
      <c r="I781">
        <v>12</v>
      </c>
      <c r="J781" t="s">
        <v>86</v>
      </c>
      <c r="K781" t="s">
        <v>731</v>
      </c>
    </row>
    <row r="782" spans="1:11" x14ac:dyDescent="0.2">
      <c r="A782" t="s">
        <v>891</v>
      </c>
      <c r="B782" s="1">
        <v>46228</v>
      </c>
      <c r="C782" t="s">
        <v>186</v>
      </c>
      <c r="D782" t="s">
        <v>730</v>
      </c>
      <c r="E782" t="s">
        <v>32</v>
      </c>
      <c r="F782" t="s">
        <v>23</v>
      </c>
      <c r="G782" s="2">
        <v>46228.291666666657</v>
      </c>
      <c r="H782" s="2">
        <v>46228.791666666657</v>
      </c>
      <c r="I782">
        <v>12</v>
      </c>
      <c r="J782" t="s">
        <v>31</v>
      </c>
      <c r="K782" t="s">
        <v>731</v>
      </c>
    </row>
    <row r="783" spans="1:11" x14ac:dyDescent="0.2">
      <c r="A783" t="s">
        <v>892</v>
      </c>
      <c r="B783" s="1">
        <v>46228</v>
      </c>
      <c r="C783" t="s">
        <v>186</v>
      </c>
      <c r="D783" t="s">
        <v>730</v>
      </c>
      <c r="E783" t="s">
        <v>32</v>
      </c>
      <c r="F783" t="s">
        <v>30</v>
      </c>
      <c r="G783" s="2">
        <v>46228.791666666657</v>
      </c>
      <c r="H783" s="2">
        <v>46229.291666666657</v>
      </c>
      <c r="I783">
        <v>12</v>
      </c>
      <c r="J783" t="s">
        <v>13</v>
      </c>
      <c r="K783" t="s">
        <v>731</v>
      </c>
    </row>
    <row r="784" spans="1:11" x14ac:dyDescent="0.2">
      <c r="A784" t="s">
        <v>893</v>
      </c>
      <c r="B784" s="1">
        <v>46228</v>
      </c>
      <c r="C784" t="s">
        <v>186</v>
      </c>
      <c r="D784" t="s">
        <v>730</v>
      </c>
      <c r="E784" t="s">
        <v>48</v>
      </c>
      <c r="F784" t="s">
        <v>23</v>
      </c>
      <c r="G784" s="2">
        <v>46228.291666666657</v>
      </c>
      <c r="H784" s="2">
        <v>46228.791666666657</v>
      </c>
      <c r="I784">
        <v>12</v>
      </c>
      <c r="J784" t="s">
        <v>40</v>
      </c>
      <c r="K784" t="s">
        <v>731</v>
      </c>
    </row>
    <row r="785" spans="1:11" x14ac:dyDescent="0.2">
      <c r="A785" t="s">
        <v>894</v>
      </c>
      <c r="B785" s="1">
        <v>46228</v>
      </c>
      <c r="C785" t="s">
        <v>186</v>
      </c>
      <c r="D785" t="s">
        <v>730</v>
      </c>
      <c r="E785" t="s">
        <v>48</v>
      </c>
      <c r="F785" t="s">
        <v>30</v>
      </c>
      <c r="G785" s="2">
        <v>46228.791666666657</v>
      </c>
      <c r="H785" s="2">
        <v>46229.291666666657</v>
      </c>
      <c r="I785">
        <v>12</v>
      </c>
      <c r="J785" t="s">
        <v>37</v>
      </c>
      <c r="K785" t="s">
        <v>731</v>
      </c>
    </row>
    <row r="786" spans="1:11" x14ac:dyDescent="0.2">
      <c r="A786" t="s">
        <v>895</v>
      </c>
      <c r="B786" s="1">
        <v>46228</v>
      </c>
      <c r="C786" t="s">
        <v>186</v>
      </c>
      <c r="D786" t="s">
        <v>730</v>
      </c>
      <c r="E786" t="s">
        <v>36</v>
      </c>
      <c r="F786" t="s">
        <v>23</v>
      </c>
      <c r="G786" s="2">
        <v>46228.291666666657</v>
      </c>
      <c r="H786" s="2">
        <v>46228.791666666657</v>
      </c>
      <c r="I786">
        <v>12</v>
      </c>
      <c r="J786" t="s">
        <v>47</v>
      </c>
      <c r="K786" t="s">
        <v>731</v>
      </c>
    </row>
    <row r="787" spans="1:11" x14ac:dyDescent="0.2">
      <c r="A787" t="s">
        <v>896</v>
      </c>
      <c r="B787" s="1">
        <v>46228</v>
      </c>
      <c r="C787" t="s">
        <v>186</v>
      </c>
      <c r="D787" t="s">
        <v>730</v>
      </c>
      <c r="E787" t="s">
        <v>36</v>
      </c>
      <c r="F787" t="s">
        <v>30</v>
      </c>
      <c r="G787" s="2">
        <v>46228.791666666657</v>
      </c>
      <c r="H787" s="2">
        <v>46229.291666666657</v>
      </c>
      <c r="I787">
        <v>12</v>
      </c>
      <c r="J787" t="s">
        <v>44</v>
      </c>
      <c r="K787" t="s">
        <v>731</v>
      </c>
    </row>
    <row r="788" spans="1:11" x14ac:dyDescent="0.2">
      <c r="A788" t="s">
        <v>897</v>
      </c>
      <c r="B788" s="1">
        <v>46228</v>
      </c>
      <c r="C788" t="s">
        <v>186</v>
      </c>
      <c r="D788" t="s">
        <v>730</v>
      </c>
      <c r="E788" t="s">
        <v>14</v>
      </c>
      <c r="F788" t="s">
        <v>23</v>
      </c>
      <c r="G788" s="2">
        <v>46228.291666666657</v>
      </c>
      <c r="H788" s="2">
        <v>46228.791666666657</v>
      </c>
      <c r="I788">
        <v>12</v>
      </c>
      <c r="J788" t="s">
        <v>53</v>
      </c>
      <c r="K788" t="s">
        <v>731</v>
      </c>
    </row>
    <row r="789" spans="1:11" x14ac:dyDescent="0.2">
      <c r="A789" t="s">
        <v>898</v>
      </c>
      <c r="B789" s="1">
        <v>46228</v>
      </c>
      <c r="C789" t="s">
        <v>186</v>
      </c>
      <c r="D789" t="s">
        <v>730</v>
      </c>
      <c r="E789" t="s">
        <v>14</v>
      </c>
      <c r="F789" t="s">
        <v>30</v>
      </c>
      <c r="G789" s="2">
        <v>46228.791666666657</v>
      </c>
      <c r="H789" s="2">
        <v>46229.291666666657</v>
      </c>
      <c r="I789">
        <v>12</v>
      </c>
      <c r="J789" t="s">
        <v>54</v>
      </c>
      <c r="K789" t="s">
        <v>731</v>
      </c>
    </row>
    <row r="790" spans="1:11" x14ac:dyDescent="0.2">
      <c r="A790" t="s">
        <v>899</v>
      </c>
      <c r="B790" s="1">
        <v>46228</v>
      </c>
      <c r="C790" t="s">
        <v>186</v>
      </c>
      <c r="D790" t="s">
        <v>730</v>
      </c>
      <c r="E790" t="s">
        <v>38</v>
      </c>
      <c r="F790" t="s">
        <v>23</v>
      </c>
      <c r="G790" s="2">
        <v>46228.291666666657</v>
      </c>
      <c r="H790" s="2">
        <v>46228.791666666657</v>
      </c>
      <c r="I790">
        <v>12</v>
      </c>
      <c r="J790" t="s">
        <v>61</v>
      </c>
      <c r="K790" t="s">
        <v>731</v>
      </c>
    </row>
    <row r="791" spans="1:11" x14ac:dyDescent="0.2">
      <c r="A791" t="s">
        <v>900</v>
      </c>
      <c r="B791" s="1">
        <v>46228</v>
      </c>
      <c r="C791" t="s">
        <v>186</v>
      </c>
      <c r="D791" t="s">
        <v>730</v>
      </c>
      <c r="E791" t="s">
        <v>38</v>
      </c>
      <c r="F791" t="s">
        <v>30</v>
      </c>
      <c r="G791" s="2">
        <v>46228.791666666657</v>
      </c>
      <c r="H791" s="2">
        <v>46229.291666666657</v>
      </c>
      <c r="I791">
        <v>12</v>
      </c>
      <c r="J791" t="s">
        <v>58</v>
      </c>
      <c r="K791" t="s">
        <v>731</v>
      </c>
    </row>
    <row r="792" spans="1:11" x14ac:dyDescent="0.2">
      <c r="A792" t="s">
        <v>901</v>
      </c>
      <c r="B792" s="1">
        <v>46228</v>
      </c>
      <c r="C792" t="s">
        <v>186</v>
      </c>
      <c r="D792" t="s">
        <v>730</v>
      </c>
      <c r="E792" t="s">
        <v>29</v>
      </c>
      <c r="F792" t="s">
        <v>23</v>
      </c>
      <c r="G792" s="2">
        <v>46228.291666666657</v>
      </c>
      <c r="H792" s="2">
        <v>46228.791666666657</v>
      </c>
      <c r="I792">
        <v>12</v>
      </c>
      <c r="J792" t="s">
        <v>65</v>
      </c>
      <c r="K792" t="s">
        <v>731</v>
      </c>
    </row>
    <row r="793" spans="1:11" x14ac:dyDescent="0.2">
      <c r="A793" t="s">
        <v>902</v>
      </c>
      <c r="B793" s="1">
        <v>46228</v>
      </c>
      <c r="C793" t="s">
        <v>186</v>
      </c>
      <c r="D793" t="s">
        <v>730</v>
      </c>
      <c r="E793" t="s">
        <v>29</v>
      </c>
      <c r="F793" t="s">
        <v>30</v>
      </c>
      <c r="G793" s="2">
        <v>46228.791666666657</v>
      </c>
      <c r="H793" s="2">
        <v>46229.291666666657</v>
      </c>
      <c r="I793">
        <v>12</v>
      </c>
      <c r="J793" t="s">
        <v>62</v>
      </c>
      <c r="K793" t="s">
        <v>731</v>
      </c>
    </row>
    <row r="794" spans="1:11" x14ac:dyDescent="0.2">
      <c r="A794" t="s">
        <v>903</v>
      </c>
      <c r="B794" s="1">
        <v>46228</v>
      </c>
      <c r="C794" t="s">
        <v>186</v>
      </c>
      <c r="D794" t="s">
        <v>730</v>
      </c>
      <c r="E794" t="s">
        <v>20</v>
      </c>
      <c r="F794" t="s">
        <v>23</v>
      </c>
      <c r="G794" s="2">
        <v>46228.291666666657</v>
      </c>
      <c r="H794" s="2">
        <v>46228.791666666657</v>
      </c>
      <c r="I794">
        <v>12</v>
      </c>
      <c r="J794" t="s">
        <v>70</v>
      </c>
      <c r="K794" t="s">
        <v>731</v>
      </c>
    </row>
    <row r="795" spans="1:11" x14ac:dyDescent="0.2">
      <c r="A795" t="s">
        <v>904</v>
      </c>
      <c r="B795" s="1">
        <v>46228</v>
      </c>
      <c r="C795" t="s">
        <v>186</v>
      </c>
      <c r="D795" t="s">
        <v>730</v>
      </c>
      <c r="E795" t="s">
        <v>20</v>
      </c>
      <c r="F795" t="s">
        <v>30</v>
      </c>
      <c r="G795" s="2">
        <v>46228.791666666657</v>
      </c>
      <c r="H795" s="2">
        <v>46229.291666666657</v>
      </c>
      <c r="I795">
        <v>12</v>
      </c>
      <c r="J795" t="s">
        <v>67</v>
      </c>
      <c r="K795" t="s">
        <v>731</v>
      </c>
    </row>
    <row r="796" spans="1:11" x14ac:dyDescent="0.2">
      <c r="A796" t="s">
        <v>905</v>
      </c>
      <c r="B796" s="1">
        <v>46228</v>
      </c>
      <c r="C796" t="s">
        <v>186</v>
      </c>
      <c r="D796" t="s">
        <v>730</v>
      </c>
      <c r="E796" t="s">
        <v>72</v>
      </c>
      <c r="F796" t="s">
        <v>23</v>
      </c>
      <c r="G796" s="2">
        <v>46228.291666666657</v>
      </c>
      <c r="H796" s="2">
        <v>46228.791666666657</v>
      </c>
      <c r="I796">
        <v>12</v>
      </c>
      <c r="J796" t="s">
        <v>76</v>
      </c>
      <c r="K796" t="s">
        <v>731</v>
      </c>
    </row>
    <row r="797" spans="1:11" x14ac:dyDescent="0.2">
      <c r="A797" t="s">
        <v>906</v>
      </c>
      <c r="B797" s="1">
        <v>46228</v>
      </c>
      <c r="C797" t="s">
        <v>186</v>
      </c>
      <c r="D797" t="s">
        <v>730</v>
      </c>
      <c r="E797" t="s">
        <v>72</v>
      </c>
      <c r="F797" t="s">
        <v>30</v>
      </c>
      <c r="G797" s="2">
        <v>46228.791666666657</v>
      </c>
      <c r="H797" s="2">
        <v>46229.291666666657</v>
      </c>
      <c r="I797">
        <v>12</v>
      </c>
      <c r="J797" t="s">
        <v>78</v>
      </c>
      <c r="K797" t="s">
        <v>731</v>
      </c>
    </row>
    <row r="798" spans="1:11" x14ac:dyDescent="0.2">
      <c r="A798" t="s">
        <v>907</v>
      </c>
      <c r="B798" s="1">
        <v>46228</v>
      </c>
      <c r="C798" t="s">
        <v>186</v>
      </c>
      <c r="D798" t="s">
        <v>730</v>
      </c>
      <c r="E798" t="s">
        <v>56</v>
      </c>
      <c r="F798" t="s">
        <v>23</v>
      </c>
      <c r="G798" s="2">
        <v>46228.291666666657</v>
      </c>
      <c r="H798" s="2">
        <v>46228.791666666657</v>
      </c>
      <c r="I798">
        <v>12</v>
      </c>
      <c r="J798" t="s">
        <v>81</v>
      </c>
      <c r="K798" t="s">
        <v>731</v>
      </c>
    </row>
    <row r="799" spans="1:11" x14ac:dyDescent="0.2">
      <c r="A799" t="s">
        <v>908</v>
      </c>
      <c r="B799" s="1">
        <v>46228</v>
      </c>
      <c r="C799" t="s">
        <v>186</v>
      </c>
      <c r="D799" t="s">
        <v>730</v>
      </c>
      <c r="E799" t="s">
        <v>56</v>
      </c>
      <c r="F799" t="s">
        <v>30</v>
      </c>
      <c r="G799" s="2">
        <v>46228.791666666657</v>
      </c>
      <c r="H799" s="2">
        <v>46229.291666666657</v>
      </c>
      <c r="I799">
        <v>12</v>
      </c>
      <c r="J799" t="s">
        <v>79</v>
      </c>
      <c r="K799" t="s">
        <v>731</v>
      </c>
    </row>
    <row r="800" spans="1:11" x14ac:dyDescent="0.2">
      <c r="A800" t="s">
        <v>909</v>
      </c>
      <c r="B800" s="1">
        <v>46228</v>
      </c>
      <c r="C800" t="s">
        <v>186</v>
      </c>
      <c r="D800" t="s">
        <v>730</v>
      </c>
      <c r="E800" t="s">
        <v>50</v>
      </c>
      <c r="F800" t="s">
        <v>23</v>
      </c>
      <c r="G800" s="2">
        <v>46228.291666666657</v>
      </c>
      <c r="H800" s="2">
        <v>46228.791666666657</v>
      </c>
      <c r="I800">
        <v>12</v>
      </c>
      <c r="J800" t="s">
        <v>84</v>
      </c>
      <c r="K800" t="s">
        <v>731</v>
      </c>
    </row>
    <row r="801" spans="1:11" x14ac:dyDescent="0.2">
      <c r="A801" t="s">
        <v>910</v>
      </c>
      <c r="B801" s="1">
        <v>46228</v>
      </c>
      <c r="C801" t="s">
        <v>186</v>
      </c>
      <c r="D801" t="s">
        <v>730</v>
      </c>
      <c r="E801" t="s">
        <v>50</v>
      </c>
      <c r="F801" t="s">
        <v>30</v>
      </c>
      <c r="G801" s="2">
        <v>46228.791666666657</v>
      </c>
      <c r="H801" s="2">
        <v>46229.291666666657</v>
      </c>
      <c r="I801">
        <v>12</v>
      </c>
      <c r="J801" t="s">
        <v>88</v>
      </c>
      <c r="K801" t="s">
        <v>731</v>
      </c>
    </row>
    <row r="802" spans="1:11" x14ac:dyDescent="0.2">
      <c r="A802" t="s">
        <v>911</v>
      </c>
      <c r="B802" s="1">
        <v>46229</v>
      </c>
      <c r="C802" t="s">
        <v>207</v>
      </c>
      <c r="D802" t="s">
        <v>730</v>
      </c>
      <c r="E802" t="s">
        <v>32</v>
      </c>
      <c r="F802" t="s">
        <v>23</v>
      </c>
      <c r="G802" s="2">
        <v>46229.291666666657</v>
      </c>
      <c r="H802" s="2">
        <v>46229.791666666657</v>
      </c>
      <c r="I802">
        <v>12</v>
      </c>
      <c r="J802" t="s">
        <v>31</v>
      </c>
      <c r="K802" t="s">
        <v>731</v>
      </c>
    </row>
    <row r="803" spans="1:11" x14ac:dyDescent="0.2">
      <c r="A803" t="s">
        <v>912</v>
      </c>
      <c r="B803" s="1">
        <v>46229</v>
      </c>
      <c r="C803" t="s">
        <v>207</v>
      </c>
      <c r="D803" t="s">
        <v>730</v>
      </c>
      <c r="E803" t="s">
        <v>32</v>
      </c>
      <c r="F803" t="s">
        <v>30</v>
      </c>
      <c r="G803" s="2">
        <v>46229.791666666657</v>
      </c>
      <c r="H803" s="2">
        <v>46230.291666666657</v>
      </c>
      <c r="I803">
        <v>12</v>
      </c>
      <c r="J803" t="s">
        <v>13</v>
      </c>
      <c r="K803" t="s">
        <v>731</v>
      </c>
    </row>
    <row r="804" spans="1:11" x14ac:dyDescent="0.2">
      <c r="A804" t="s">
        <v>913</v>
      </c>
      <c r="B804" s="1">
        <v>46229</v>
      </c>
      <c r="C804" t="s">
        <v>207</v>
      </c>
      <c r="D804" t="s">
        <v>730</v>
      </c>
      <c r="E804" t="s">
        <v>48</v>
      </c>
      <c r="F804" t="s">
        <v>23</v>
      </c>
      <c r="G804" s="2">
        <v>46229.291666666657</v>
      </c>
      <c r="H804" s="2">
        <v>46229.791666666657</v>
      </c>
      <c r="I804">
        <v>12</v>
      </c>
      <c r="J804" t="s">
        <v>35</v>
      </c>
      <c r="K804" t="s">
        <v>731</v>
      </c>
    </row>
    <row r="805" spans="1:11" x14ac:dyDescent="0.2">
      <c r="A805" t="s">
        <v>914</v>
      </c>
      <c r="B805" s="1">
        <v>46229</v>
      </c>
      <c r="C805" t="s">
        <v>207</v>
      </c>
      <c r="D805" t="s">
        <v>730</v>
      </c>
      <c r="E805" t="s">
        <v>48</v>
      </c>
      <c r="F805" t="s">
        <v>30</v>
      </c>
      <c r="G805" s="2">
        <v>46229.791666666657</v>
      </c>
      <c r="H805" s="2">
        <v>46230.291666666657</v>
      </c>
      <c r="I805">
        <v>12</v>
      </c>
      <c r="J805" t="s">
        <v>41</v>
      </c>
      <c r="K805" t="s">
        <v>731</v>
      </c>
    </row>
    <row r="806" spans="1:11" x14ac:dyDescent="0.2">
      <c r="A806" t="s">
        <v>915</v>
      </c>
      <c r="B806" s="1">
        <v>46229</v>
      </c>
      <c r="C806" t="s">
        <v>207</v>
      </c>
      <c r="D806" t="s">
        <v>730</v>
      </c>
      <c r="E806" t="s">
        <v>36</v>
      </c>
      <c r="F806" t="s">
        <v>23</v>
      </c>
      <c r="G806" s="2">
        <v>46229.291666666657</v>
      </c>
      <c r="H806" s="2">
        <v>46229.791666666657</v>
      </c>
      <c r="I806">
        <v>12</v>
      </c>
      <c r="J806" t="s">
        <v>46</v>
      </c>
      <c r="K806" t="s">
        <v>731</v>
      </c>
    </row>
    <row r="807" spans="1:11" x14ac:dyDescent="0.2">
      <c r="A807" t="s">
        <v>916</v>
      </c>
      <c r="B807" s="1">
        <v>46229</v>
      </c>
      <c r="C807" t="s">
        <v>207</v>
      </c>
      <c r="D807" t="s">
        <v>730</v>
      </c>
      <c r="E807" t="s">
        <v>36</v>
      </c>
      <c r="F807" t="s">
        <v>30</v>
      </c>
      <c r="G807" s="2">
        <v>46229.791666666657</v>
      </c>
      <c r="H807" s="2">
        <v>46230.291666666657</v>
      </c>
      <c r="I807">
        <v>12</v>
      </c>
      <c r="J807" t="s">
        <v>45</v>
      </c>
      <c r="K807" t="s">
        <v>731</v>
      </c>
    </row>
    <row r="808" spans="1:11" x14ac:dyDescent="0.2">
      <c r="A808" t="s">
        <v>917</v>
      </c>
      <c r="B808" s="1">
        <v>46229</v>
      </c>
      <c r="C808" t="s">
        <v>207</v>
      </c>
      <c r="D808" t="s">
        <v>730</v>
      </c>
      <c r="E808" t="s">
        <v>14</v>
      </c>
      <c r="F808" t="s">
        <v>23</v>
      </c>
      <c r="G808" s="2">
        <v>46229.291666666657</v>
      </c>
      <c r="H808" s="2">
        <v>46229.791666666657</v>
      </c>
      <c r="I808">
        <v>12</v>
      </c>
      <c r="J808" t="s">
        <v>52</v>
      </c>
      <c r="K808" t="s">
        <v>731</v>
      </c>
    </row>
    <row r="809" spans="1:11" x14ac:dyDescent="0.2">
      <c r="A809" t="s">
        <v>918</v>
      </c>
      <c r="B809" s="1">
        <v>46229</v>
      </c>
      <c r="C809" t="s">
        <v>207</v>
      </c>
      <c r="D809" t="s">
        <v>730</v>
      </c>
      <c r="E809" t="s">
        <v>14</v>
      </c>
      <c r="F809" t="s">
        <v>30</v>
      </c>
      <c r="G809" s="2">
        <v>46229.791666666657</v>
      </c>
      <c r="H809" s="2">
        <v>46230.291666666657</v>
      </c>
      <c r="I809">
        <v>12</v>
      </c>
      <c r="J809" t="s">
        <v>49</v>
      </c>
      <c r="K809" t="s">
        <v>731</v>
      </c>
    </row>
    <row r="810" spans="1:11" x14ac:dyDescent="0.2">
      <c r="A810" t="s">
        <v>919</v>
      </c>
      <c r="B810" s="1">
        <v>46229</v>
      </c>
      <c r="C810" t="s">
        <v>207</v>
      </c>
      <c r="D810" t="s">
        <v>730</v>
      </c>
      <c r="E810" t="s">
        <v>38</v>
      </c>
      <c r="F810" t="s">
        <v>23</v>
      </c>
      <c r="G810" s="2">
        <v>46229.291666666657</v>
      </c>
      <c r="H810" s="2">
        <v>46229.791666666657</v>
      </c>
      <c r="I810">
        <v>12</v>
      </c>
      <c r="J810" t="s">
        <v>59</v>
      </c>
      <c r="K810" t="s">
        <v>731</v>
      </c>
    </row>
    <row r="811" spans="1:11" x14ac:dyDescent="0.2">
      <c r="A811" t="s">
        <v>920</v>
      </c>
      <c r="B811" s="1">
        <v>46229</v>
      </c>
      <c r="C811" t="s">
        <v>207</v>
      </c>
      <c r="D811" t="s">
        <v>730</v>
      </c>
      <c r="E811" t="s">
        <v>38</v>
      </c>
      <c r="F811" t="s">
        <v>30</v>
      </c>
      <c r="G811" s="2">
        <v>46229.791666666657</v>
      </c>
      <c r="H811" s="2">
        <v>46230.291666666657</v>
      </c>
      <c r="I811">
        <v>12</v>
      </c>
      <c r="J811" t="s">
        <v>58</v>
      </c>
      <c r="K811" t="s">
        <v>731</v>
      </c>
    </row>
    <row r="812" spans="1:11" x14ac:dyDescent="0.2">
      <c r="A812" t="s">
        <v>921</v>
      </c>
      <c r="B812" s="1">
        <v>46229</v>
      </c>
      <c r="C812" t="s">
        <v>207</v>
      </c>
      <c r="D812" t="s">
        <v>730</v>
      </c>
      <c r="E812" t="s">
        <v>29</v>
      </c>
      <c r="F812" t="s">
        <v>23</v>
      </c>
      <c r="G812" s="2">
        <v>46229.291666666657</v>
      </c>
      <c r="H812" s="2">
        <v>46229.791666666657</v>
      </c>
      <c r="I812">
        <v>12</v>
      </c>
      <c r="J812" t="s">
        <v>63</v>
      </c>
      <c r="K812" t="s">
        <v>731</v>
      </c>
    </row>
    <row r="813" spans="1:11" x14ac:dyDescent="0.2">
      <c r="A813" t="s">
        <v>922</v>
      </c>
      <c r="B813" s="1">
        <v>46229</v>
      </c>
      <c r="C813" t="s">
        <v>207</v>
      </c>
      <c r="D813" t="s">
        <v>730</v>
      </c>
      <c r="E813" t="s">
        <v>29</v>
      </c>
      <c r="F813" t="s">
        <v>30</v>
      </c>
      <c r="G813" s="2">
        <v>46229.791666666657</v>
      </c>
      <c r="H813" s="2">
        <v>46230.291666666657</v>
      </c>
      <c r="I813">
        <v>12</v>
      </c>
      <c r="J813" t="s">
        <v>64</v>
      </c>
      <c r="K813" t="s">
        <v>731</v>
      </c>
    </row>
    <row r="814" spans="1:11" x14ac:dyDescent="0.2">
      <c r="A814" t="s">
        <v>923</v>
      </c>
      <c r="B814" s="1">
        <v>46229</v>
      </c>
      <c r="C814" t="s">
        <v>207</v>
      </c>
      <c r="D814" t="s">
        <v>730</v>
      </c>
      <c r="E814" t="s">
        <v>20</v>
      </c>
      <c r="F814" t="s">
        <v>23</v>
      </c>
      <c r="G814" s="2">
        <v>46229.291666666657</v>
      </c>
      <c r="H814" s="2">
        <v>46229.791666666657</v>
      </c>
      <c r="I814">
        <v>12</v>
      </c>
      <c r="J814" t="s">
        <v>68</v>
      </c>
      <c r="K814" t="s">
        <v>731</v>
      </c>
    </row>
    <row r="815" spans="1:11" x14ac:dyDescent="0.2">
      <c r="A815" t="s">
        <v>924</v>
      </c>
      <c r="B815" s="1">
        <v>46229</v>
      </c>
      <c r="C815" t="s">
        <v>207</v>
      </c>
      <c r="D815" t="s">
        <v>730</v>
      </c>
      <c r="E815" t="s">
        <v>20</v>
      </c>
      <c r="F815" t="s">
        <v>30</v>
      </c>
      <c r="G815" s="2">
        <v>46229.791666666657</v>
      </c>
      <c r="H815" s="2">
        <v>46230.291666666657</v>
      </c>
      <c r="I815">
        <v>12</v>
      </c>
      <c r="J815" t="s">
        <v>71</v>
      </c>
      <c r="K815" t="s">
        <v>731</v>
      </c>
    </row>
    <row r="816" spans="1:11" x14ac:dyDescent="0.2">
      <c r="A816" t="s">
        <v>925</v>
      </c>
      <c r="B816" s="1">
        <v>46229</v>
      </c>
      <c r="C816" t="s">
        <v>207</v>
      </c>
      <c r="D816" t="s">
        <v>730</v>
      </c>
      <c r="E816" t="s">
        <v>72</v>
      </c>
      <c r="F816" t="s">
        <v>23</v>
      </c>
      <c r="G816" s="2">
        <v>46229.291666666657</v>
      </c>
      <c r="H816" s="2">
        <v>46229.791666666657</v>
      </c>
      <c r="I816">
        <v>12</v>
      </c>
      <c r="J816" t="s">
        <v>74</v>
      </c>
      <c r="K816" t="s">
        <v>731</v>
      </c>
    </row>
    <row r="817" spans="1:11" x14ac:dyDescent="0.2">
      <c r="A817" t="s">
        <v>926</v>
      </c>
      <c r="B817" s="1">
        <v>46229</v>
      </c>
      <c r="C817" t="s">
        <v>207</v>
      </c>
      <c r="D817" t="s">
        <v>730</v>
      </c>
      <c r="E817" t="s">
        <v>72</v>
      </c>
      <c r="F817" t="s">
        <v>30</v>
      </c>
      <c r="G817" s="2">
        <v>46229.791666666657</v>
      </c>
      <c r="H817" s="2">
        <v>46230.291666666657</v>
      </c>
      <c r="I817">
        <v>12</v>
      </c>
      <c r="J817" t="s">
        <v>75</v>
      </c>
      <c r="K817" t="s">
        <v>731</v>
      </c>
    </row>
    <row r="818" spans="1:11" x14ac:dyDescent="0.2">
      <c r="A818" t="s">
        <v>927</v>
      </c>
      <c r="B818" s="1">
        <v>46229</v>
      </c>
      <c r="C818" t="s">
        <v>207</v>
      </c>
      <c r="D818" t="s">
        <v>730</v>
      </c>
      <c r="E818" t="s">
        <v>56</v>
      </c>
      <c r="F818" t="s">
        <v>23</v>
      </c>
      <c r="G818" s="2">
        <v>46229.291666666657</v>
      </c>
      <c r="H818" s="2">
        <v>46229.791666666657</v>
      </c>
      <c r="I818">
        <v>12</v>
      </c>
      <c r="J818" t="s">
        <v>81</v>
      </c>
      <c r="K818" t="s">
        <v>731</v>
      </c>
    </row>
    <row r="819" spans="1:11" x14ac:dyDescent="0.2">
      <c r="A819" t="s">
        <v>928</v>
      </c>
      <c r="B819" s="1">
        <v>46229</v>
      </c>
      <c r="C819" t="s">
        <v>207</v>
      </c>
      <c r="D819" t="s">
        <v>730</v>
      </c>
      <c r="E819" t="s">
        <v>56</v>
      </c>
      <c r="F819" t="s">
        <v>30</v>
      </c>
      <c r="G819" s="2">
        <v>46229.791666666657</v>
      </c>
      <c r="H819" s="2">
        <v>46230.291666666657</v>
      </c>
      <c r="I819">
        <v>12</v>
      </c>
      <c r="J819" t="s">
        <v>80</v>
      </c>
      <c r="K819" t="s">
        <v>731</v>
      </c>
    </row>
    <row r="820" spans="1:11" x14ac:dyDescent="0.2">
      <c r="A820" t="s">
        <v>929</v>
      </c>
      <c r="B820" s="1">
        <v>46229</v>
      </c>
      <c r="C820" t="s">
        <v>207</v>
      </c>
      <c r="D820" t="s">
        <v>730</v>
      </c>
      <c r="E820" t="s">
        <v>50</v>
      </c>
      <c r="F820" t="s">
        <v>23</v>
      </c>
      <c r="G820" s="2">
        <v>46229.291666666657</v>
      </c>
      <c r="H820" s="2">
        <v>46229.791666666657</v>
      </c>
      <c r="I820">
        <v>12</v>
      </c>
      <c r="J820" t="s">
        <v>86</v>
      </c>
      <c r="K820" t="s">
        <v>731</v>
      </c>
    </row>
    <row r="821" spans="1:11" x14ac:dyDescent="0.2">
      <c r="A821" t="s">
        <v>930</v>
      </c>
      <c r="B821" s="1">
        <v>46229</v>
      </c>
      <c r="C821" t="s">
        <v>207</v>
      </c>
      <c r="D821" t="s">
        <v>730</v>
      </c>
      <c r="E821" t="s">
        <v>50</v>
      </c>
      <c r="F821" t="s">
        <v>30</v>
      </c>
      <c r="G821" s="2">
        <v>46229.791666666657</v>
      </c>
      <c r="H821" s="2">
        <v>46230.291666666657</v>
      </c>
      <c r="I821">
        <v>12</v>
      </c>
      <c r="J821" t="s">
        <v>88</v>
      </c>
      <c r="K821" t="s">
        <v>731</v>
      </c>
    </row>
    <row r="822" spans="1:11" x14ac:dyDescent="0.2">
      <c r="A822" t="s">
        <v>931</v>
      </c>
      <c r="B822" s="1">
        <v>46230</v>
      </c>
      <c r="C822" t="s">
        <v>228</v>
      </c>
      <c r="D822" t="s">
        <v>730</v>
      </c>
      <c r="E822" t="s">
        <v>32</v>
      </c>
      <c r="F822" t="s">
        <v>23</v>
      </c>
      <c r="G822" s="2">
        <v>46230.291666666657</v>
      </c>
      <c r="H822" s="2">
        <v>46230.791666666657</v>
      </c>
      <c r="I822">
        <v>12</v>
      </c>
      <c r="J822" t="s">
        <v>31</v>
      </c>
      <c r="K822" t="s">
        <v>731</v>
      </c>
    </row>
    <row r="823" spans="1:11" x14ac:dyDescent="0.2">
      <c r="A823" t="s">
        <v>932</v>
      </c>
      <c r="B823" s="1">
        <v>46230</v>
      </c>
      <c r="C823" t="s">
        <v>228</v>
      </c>
      <c r="D823" t="s">
        <v>730</v>
      </c>
      <c r="E823" t="s">
        <v>32</v>
      </c>
      <c r="F823" t="s">
        <v>30</v>
      </c>
      <c r="G823" s="2">
        <v>46230.791666666657</v>
      </c>
      <c r="H823" s="2">
        <v>46231.291666666657</v>
      </c>
      <c r="I823">
        <v>12</v>
      </c>
      <c r="J823" t="s">
        <v>19</v>
      </c>
      <c r="K823" t="s">
        <v>731</v>
      </c>
    </row>
    <row r="824" spans="1:11" x14ac:dyDescent="0.2">
      <c r="A824" t="s">
        <v>933</v>
      </c>
      <c r="B824" s="1">
        <v>46230</v>
      </c>
      <c r="C824" t="s">
        <v>228</v>
      </c>
      <c r="D824" t="s">
        <v>730</v>
      </c>
      <c r="E824" t="s">
        <v>48</v>
      </c>
      <c r="F824" t="s">
        <v>23</v>
      </c>
      <c r="G824" s="2">
        <v>46230.291666666657</v>
      </c>
      <c r="H824" s="2">
        <v>46230.791666666657</v>
      </c>
      <c r="I824">
        <v>12</v>
      </c>
      <c r="J824" t="s">
        <v>40</v>
      </c>
      <c r="K824" t="s">
        <v>731</v>
      </c>
    </row>
    <row r="825" spans="1:11" x14ac:dyDescent="0.2">
      <c r="A825" t="s">
        <v>934</v>
      </c>
      <c r="B825" s="1">
        <v>46230</v>
      </c>
      <c r="C825" t="s">
        <v>228</v>
      </c>
      <c r="D825" t="s">
        <v>730</v>
      </c>
      <c r="E825" t="s">
        <v>48</v>
      </c>
      <c r="F825" t="s">
        <v>30</v>
      </c>
      <c r="G825" s="2">
        <v>46230.791666666657</v>
      </c>
      <c r="H825" s="2">
        <v>46231.291666666657</v>
      </c>
      <c r="I825">
        <v>12</v>
      </c>
      <c r="J825" t="s">
        <v>42</v>
      </c>
      <c r="K825" t="s">
        <v>731</v>
      </c>
    </row>
    <row r="826" spans="1:11" x14ac:dyDescent="0.2">
      <c r="A826" t="s">
        <v>935</v>
      </c>
      <c r="B826" s="1">
        <v>46230</v>
      </c>
      <c r="C826" t="s">
        <v>228</v>
      </c>
      <c r="D826" t="s">
        <v>730</v>
      </c>
      <c r="E826" t="s">
        <v>36</v>
      </c>
      <c r="F826" t="s">
        <v>23</v>
      </c>
      <c r="G826" s="2">
        <v>46230.291666666657</v>
      </c>
      <c r="H826" s="2">
        <v>46230.791666666657</v>
      </c>
      <c r="I826">
        <v>12</v>
      </c>
      <c r="J826" t="s">
        <v>47</v>
      </c>
      <c r="K826" t="s">
        <v>731</v>
      </c>
    </row>
    <row r="827" spans="1:11" x14ac:dyDescent="0.2">
      <c r="A827" t="s">
        <v>936</v>
      </c>
      <c r="B827" s="1">
        <v>46230</v>
      </c>
      <c r="C827" t="s">
        <v>228</v>
      </c>
      <c r="D827" t="s">
        <v>730</v>
      </c>
      <c r="E827" t="s">
        <v>36</v>
      </c>
      <c r="F827" t="s">
        <v>30</v>
      </c>
      <c r="G827" s="2">
        <v>46230.791666666657</v>
      </c>
      <c r="H827" s="2">
        <v>46231.291666666657</v>
      </c>
      <c r="I827">
        <v>12</v>
      </c>
      <c r="J827" t="s">
        <v>43</v>
      </c>
      <c r="K827" t="s">
        <v>731</v>
      </c>
    </row>
    <row r="828" spans="1:11" x14ac:dyDescent="0.2">
      <c r="A828" t="s">
        <v>937</v>
      </c>
      <c r="B828" s="1">
        <v>46230</v>
      </c>
      <c r="C828" t="s">
        <v>228</v>
      </c>
      <c r="D828" t="s">
        <v>730</v>
      </c>
      <c r="E828" t="s">
        <v>14</v>
      </c>
      <c r="F828" t="s">
        <v>23</v>
      </c>
      <c r="G828" s="2">
        <v>46230.291666666657</v>
      </c>
      <c r="H828" s="2">
        <v>46230.791666666657</v>
      </c>
      <c r="I828">
        <v>12</v>
      </c>
      <c r="J828" t="s">
        <v>52</v>
      </c>
      <c r="K828" t="s">
        <v>731</v>
      </c>
    </row>
    <row r="829" spans="1:11" x14ac:dyDescent="0.2">
      <c r="A829" t="s">
        <v>938</v>
      </c>
      <c r="B829" s="1">
        <v>46230</v>
      </c>
      <c r="C829" t="s">
        <v>228</v>
      </c>
      <c r="D829" t="s">
        <v>730</v>
      </c>
      <c r="E829" t="s">
        <v>14</v>
      </c>
      <c r="F829" t="s">
        <v>30</v>
      </c>
      <c r="G829" s="2">
        <v>46230.791666666657</v>
      </c>
      <c r="H829" s="2">
        <v>46231.291666666657</v>
      </c>
      <c r="I829">
        <v>12</v>
      </c>
      <c r="J829" t="s">
        <v>49</v>
      </c>
      <c r="K829" t="s">
        <v>731</v>
      </c>
    </row>
    <row r="830" spans="1:11" x14ac:dyDescent="0.2">
      <c r="A830" t="s">
        <v>939</v>
      </c>
      <c r="B830" s="1">
        <v>46230</v>
      </c>
      <c r="C830" t="s">
        <v>228</v>
      </c>
      <c r="D830" t="s">
        <v>730</v>
      </c>
      <c r="E830" t="s">
        <v>38</v>
      </c>
      <c r="F830" t="s">
        <v>23</v>
      </c>
      <c r="G830" s="2">
        <v>46230.291666666657</v>
      </c>
      <c r="H830" s="2">
        <v>46230.791666666657</v>
      </c>
      <c r="I830">
        <v>12</v>
      </c>
      <c r="J830" t="s">
        <v>61</v>
      </c>
      <c r="K830" t="s">
        <v>731</v>
      </c>
    </row>
    <row r="831" spans="1:11" x14ac:dyDescent="0.2">
      <c r="A831" t="s">
        <v>940</v>
      </c>
      <c r="B831" s="1">
        <v>46230</v>
      </c>
      <c r="C831" t="s">
        <v>228</v>
      </c>
      <c r="D831" t="s">
        <v>730</v>
      </c>
      <c r="E831" t="s">
        <v>38</v>
      </c>
      <c r="F831" t="s">
        <v>30</v>
      </c>
      <c r="G831" s="2">
        <v>46230.791666666657</v>
      </c>
      <c r="H831" s="2">
        <v>46231.291666666657</v>
      </c>
      <c r="I831">
        <v>12</v>
      </c>
      <c r="J831" t="s">
        <v>59</v>
      </c>
      <c r="K831" t="s">
        <v>731</v>
      </c>
    </row>
    <row r="832" spans="1:11" x14ac:dyDescent="0.2">
      <c r="A832" t="s">
        <v>941</v>
      </c>
      <c r="B832" s="1">
        <v>46230</v>
      </c>
      <c r="C832" t="s">
        <v>228</v>
      </c>
      <c r="D832" t="s">
        <v>730</v>
      </c>
      <c r="E832" t="s">
        <v>29</v>
      </c>
      <c r="F832" t="s">
        <v>23</v>
      </c>
      <c r="G832" s="2">
        <v>46230.291666666657</v>
      </c>
      <c r="H832" s="2">
        <v>46230.791666666657</v>
      </c>
      <c r="I832">
        <v>12</v>
      </c>
      <c r="J832" t="s">
        <v>63</v>
      </c>
      <c r="K832" t="s">
        <v>731</v>
      </c>
    </row>
    <row r="833" spans="1:11" x14ac:dyDescent="0.2">
      <c r="A833" t="s">
        <v>942</v>
      </c>
      <c r="B833" s="1">
        <v>46230</v>
      </c>
      <c r="C833" t="s">
        <v>228</v>
      </c>
      <c r="D833" t="s">
        <v>730</v>
      </c>
      <c r="E833" t="s">
        <v>29</v>
      </c>
      <c r="F833" t="s">
        <v>30</v>
      </c>
      <c r="G833" s="2">
        <v>46230.791666666657</v>
      </c>
      <c r="H833" s="2">
        <v>46231.291666666657</v>
      </c>
      <c r="I833">
        <v>12</v>
      </c>
      <c r="J833" t="s">
        <v>65</v>
      </c>
      <c r="K833" t="s">
        <v>731</v>
      </c>
    </row>
    <row r="834" spans="1:11" x14ac:dyDescent="0.2">
      <c r="A834" t="s">
        <v>943</v>
      </c>
      <c r="B834" s="1">
        <v>46230</v>
      </c>
      <c r="C834" t="s">
        <v>228</v>
      </c>
      <c r="D834" t="s">
        <v>730</v>
      </c>
      <c r="E834" t="s">
        <v>20</v>
      </c>
      <c r="F834" t="s">
        <v>23</v>
      </c>
      <c r="G834" s="2">
        <v>46230.291666666657</v>
      </c>
      <c r="H834" s="2">
        <v>46230.791666666657</v>
      </c>
      <c r="I834">
        <v>12</v>
      </c>
      <c r="J834" t="s">
        <v>69</v>
      </c>
      <c r="K834" t="s">
        <v>731</v>
      </c>
    </row>
    <row r="835" spans="1:11" x14ac:dyDescent="0.2">
      <c r="A835" t="s">
        <v>944</v>
      </c>
      <c r="B835" s="1">
        <v>46230</v>
      </c>
      <c r="C835" t="s">
        <v>228</v>
      </c>
      <c r="D835" t="s">
        <v>730</v>
      </c>
      <c r="E835" t="s">
        <v>20</v>
      </c>
      <c r="F835" t="s">
        <v>30</v>
      </c>
      <c r="G835" s="2">
        <v>46230.791666666657</v>
      </c>
      <c r="H835" s="2">
        <v>46231.291666666657</v>
      </c>
      <c r="I835">
        <v>12</v>
      </c>
      <c r="J835" t="s">
        <v>67</v>
      </c>
      <c r="K835" t="s">
        <v>731</v>
      </c>
    </row>
    <row r="836" spans="1:11" x14ac:dyDescent="0.2">
      <c r="A836" t="s">
        <v>945</v>
      </c>
      <c r="B836" s="1">
        <v>46230</v>
      </c>
      <c r="C836" t="s">
        <v>228</v>
      </c>
      <c r="D836" t="s">
        <v>730</v>
      </c>
      <c r="E836" t="s">
        <v>72</v>
      </c>
      <c r="F836" t="s">
        <v>23</v>
      </c>
      <c r="G836" s="2">
        <v>46230.291666666657</v>
      </c>
      <c r="H836" s="2">
        <v>46230.791666666657</v>
      </c>
      <c r="I836">
        <v>12</v>
      </c>
      <c r="J836" t="s">
        <v>74</v>
      </c>
      <c r="K836" t="s">
        <v>731</v>
      </c>
    </row>
    <row r="837" spans="1:11" x14ac:dyDescent="0.2">
      <c r="A837" t="s">
        <v>946</v>
      </c>
      <c r="B837" s="1">
        <v>46230</v>
      </c>
      <c r="C837" t="s">
        <v>228</v>
      </c>
      <c r="D837" t="s">
        <v>730</v>
      </c>
      <c r="E837" t="s">
        <v>72</v>
      </c>
      <c r="F837" t="s">
        <v>30</v>
      </c>
      <c r="G837" s="2">
        <v>46230.791666666657</v>
      </c>
      <c r="H837" s="2">
        <v>46231.291666666657</v>
      </c>
      <c r="I837">
        <v>12</v>
      </c>
      <c r="J837" t="s">
        <v>78</v>
      </c>
      <c r="K837" t="s">
        <v>731</v>
      </c>
    </row>
    <row r="838" spans="1:11" x14ac:dyDescent="0.2">
      <c r="A838" t="s">
        <v>947</v>
      </c>
      <c r="B838" s="1">
        <v>46230</v>
      </c>
      <c r="C838" t="s">
        <v>228</v>
      </c>
      <c r="D838" t="s">
        <v>730</v>
      </c>
      <c r="E838" t="s">
        <v>56</v>
      </c>
      <c r="F838" t="s">
        <v>23</v>
      </c>
      <c r="G838" s="2">
        <v>46230.291666666657</v>
      </c>
      <c r="H838" s="2">
        <v>46230.791666666657</v>
      </c>
      <c r="I838">
        <v>12</v>
      </c>
      <c r="J838" t="s">
        <v>82</v>
      </c>
      <c r="K838" t="s">
        <v>731</v>
      </c>
    </row>
    <row r="839" spans="1:11" x14ac:dyDescent="0.2">
      <c r="A839" t="s">
        <v>948</v>
      </c>
      <c r="B839" s="1">
        <v>46230</v>
      </c>
      <c r="C839" t="s">
        <v>228</v>
      </c>
      <c r="D839" t="s">
        <v>730</v>
      </c>
      <c r="E839" t="s">
        <v>56</v>
      </c>
      <c r="F839" t="s">
        <v>30</v>
      </c>
      <c r="G839" s="2">
        <v>46230.791666666657</v>
      </c>
      <c r="H839" s="2">
        <v>46231.291666666657</v>
      </c>
      <c r="I839">
        <v>12</v>
      </c>
      <c r="J839" t="s">
        <v>81</v>
      </c>
      <c r="K839" t="s">
        <v>731</v>
      </c>
    </row>
    <row r="840" spans="1:11" x14ac:dyDescent="0.2">
      <c r="A840" t="s">
        <v>949</v>
      </c>
      <c r="B840" s="1">
        <v>46230</v>
      </c>
      <c r="C840" t="s">
        <v>228</v>
      </c>
      <c r="D840" t="s">
        <v>730</v>
      </c>
      <c r="E840" t="s">
        <v>50</v>
      </c>
      <c r="F840" t="s">
        <v>23</v>
      </c>
      <c r="G840" s="2">
        <v>46230.291666666657</v>
      </c>
      <c r="H840" s="2">
        <v>46230.791666666657</v>
      </c>
      <c r="I840">
        <v>12</v>
      </c>
      <c r="J840" t="s">
        <v>84</v>
      </c>
      <c r="K840" t="s">
        <v>731</v>
      </c>
    </row>
    <row r="841" spans="1:11" x14ac:dyDescent="0.2">
      <c r="A841" t="s">
        <v>950</v>
      </c>
      <c r="B841" s="1">
        <v>46230</v>
      </c>
      <c r="C841" t="s">
        <v>228</v>
      </c>
      <c r="D841" t="s">
        <v>730</v>
      </c>
      <c r="E841" t="s">
        <v>50</v>
      </c>
      <c r="F841" t="s">
        <v>30</v>
      </c>
      <c r="G841" s="2">
        <v>46230.791666666657</v>
      </c>
      <c r="H841" s="2">
        <v>46231.291666666657</v>
      </c>
      <c r="I841">
        <v>12</v>
      </c>
      <c r="J841" t="s">
        <v>88</v>
      </c>
      <c r="K841" t="s">
        <v>731</v>
      </c>
    </row>
    <row r="842" spans="1:11" x14ac:dyDescent="0.2">
      <c r="A842" t="s">
        <v>951</v>
      </c>
      <c r="B842" s="1">
        <v>46231</v>
      </c>
      <c r="C842" t="s">
        <v>100</v>
      </c>
      <c r="D842" t="s">
        <v>730</v>
      </c>
      <c r="E842" t="s">
        <v>32</v>
      </c>
      <c r="F842" t="s">
        <v>23</v>
      </c>
      <c r="G842" s="2">
        <v>46231.291666666657</v>
      </c>
      <c r="H842" s="2">
        <v>46231.791666666657</v>
      </c>
      <c r="I842">
        <v>12</v>
      </c>
      <c r="J842" t="s">
        <v>19</v>
      </c>
      <c r="K842" t="s">
        <v>731</v>
      </c>
    </row>
    <row r="843" spans="1:11" x14ac:dyDescent="0.2">
      <c r="A843" t="s">
        <v>952</v>
      </c>
      <c r="B843" s="1">
        <v>46231</v>
      </c>
      <c r="C843" t="s">
        <v>100</v>
      </c>
      <c r="D843" t="s">
        <v>730</v>
      </c>
      <c r="E843" t="s">
        <v>32</v>
      </c>
      <c r="F843" t="s">
        <v>30</v>
      </c>
      <c r="G843" s="2">
        <v>46231.791666666657</v>
      </c>
      <c r="H843" s="2">
        <v>46232.291666666657</v>
      </c>
      <c r="I843">
        <v>12</v>
      </c>
      <c r="J843" t="s">
        <v>31</v>
      </c>
      <c r="K843" t="s">
        <v>731</v>
      </c>
    </row>
    <row r="844" spans="1:11" x14ac:dyDescent="0.2">
      <c r="A844" t="s">
        <v>953</v>
      </c>
      <c r="B844" s="1">
        <v>46231</v>
      </c>
      <c r="C844" t="s">
        <v>100</v>
      </c>
      <c r="D844" t="s">
        <v>730</v>
      </c>
      <c r="E844" t="s">
        <v>48</v>
      </c>
      <c r="F844" t="s">
        <v>23</v>
      </c>
      <c r="G844" s="2">
        <v>46231.291666666657</v>
      </c>
      <c r="H844" s="2">
        <v>46231.791666666657</v>
      </c>
      <c r="I844">
        <v>12</v>
      </c>
      <c r="J844" t="s">
        <v>37</v>
      </c>
      <c r="K844" t="s">
        <v>731</v>
      </c>
    </row>
    <row r="845" spans="1:11" x14ac:dyDescent="0.2">
      <c r="A845" t="s">
        <v>954</v>
      </c>
      <c r="B845" s="1">
        <v>46231</v>
      </c>
      <c r="C845" t="s">
        <v>100</v>
      </c>
      <c r="D845" t="s">
        <v>730</v>
      </c>
      <c r="E845" t="s">
        <v>48</v>
      </c>
      <c r="F845" t="s">
        <v>30</v>
      </c>
      <c r="G845" s="2">
        <v>46231.791666666657</v>
      </c>
      <c r="H845" s="2">
        <v>46232.291666666657</v>
      </c>
      <c r="I845">
        <v>12</v>
      </c>
      <c r="J845" t="s">
        <v>41</v>
      </c>
      <c r="K845" t="s">
        <v>731</v>
      </c>
    </row>
    <row r="846" spans="1:11" x14ac:dyDescent="0.2">
      <c r="A846" t="s">
        <v>955</v>
      </c>
      <c r="B846" s="1">
        <v>46231</v>
      </c>
      <c r="C846" t="s">
        <v>100</v>
      </c>
      <c r="D846" t="s">
        <v>730</v>
      </c>
      <c r="E846" t="s">
        <v>36</v>
      </c>
      <c r="F846" t="s">
        <v>23</v>
      </c>
      <c r="G846" s="2">
        <v>46231.291666666657</v>
      </c>
      <c r="H846" s="2">
        <v>46231.791666666657</v>
      </c>
      <c r="I846">
        <v>12</v>
      </c>
      <c r="J846" t="s">
        <v>46</v>
      </c>
      <c r="K846" t="s">
        <v>731</v>
      </c>
    </row>
    <row r="847" spans="1:11" x14ac:dyDescent="0.2">
      <c r="A847" t="s">
        <v>956</v>
      </c>
      <c r="B847" s="1">
        <v>46231</v>
      </c>
      <c r="C847" t="s">
        <v>100</v>
      </c>
      <c r="D847" t="s">
        <v>730</v>
      </c>
      <c r="E847" t="s">
        <v>36</v>
      </c>
      <c r="F847" t="s">
        <v>30</v>
      </c>
      <c r="G847" s="2">
        <v>46231.791666666657</v>
      </c>
      <c r="H847" s="2">
        <v>46232.291666666657</v>
      </c>
      <c r="I847">
        <v>12</v>
      </c>
      <c r="J847" t="s">
        <v>43</v>
      </c>
      <c r="K847" t="s">
        <v>731</v>
      </c>
    </row>
    <row r="848" spans="1:11" x14ac:dyDescent="0.2">
      <c r="A848" t="s">
        <v>957</v>
      </c>
      <c r="B848" s="1">
        <v>46231</v>
      </c>
      <c r="C848" t="s">
        <v>100</v>
      </c>
      <c r="D848" t="s">
        <v>730</v>
      </c>
      <c r="E848" t="s">
        <v>14</v>
      </c>
      <c r="F848" t="s">
        <v>23</v>
      </c>
      <c r="G848" s="2">
        <v>46231.291666666657</v>
      </c>
      <c r="H848" s="2">
        <v>46231.791666666657</v>
      </c>
      <c r="I848">
        <v>12</v>
      </c>
      <c r="J848" t="s">
        <v>54</v>
      </c>
      <c r="K848" t="s">
        <v>731</v>
      </c>
    </row>
    <row r="849" spans="1:11" x14ac:dyDescent="0.2">
      <c r="A849" t="s">
        <v>958</v>
      </c>
      <c r="B849" s="1">
        <v>46231</v>
      </c>
      <c r="C849" t="s">
        <v>100</v>
      </c>
      <c r="D849" t="s">
        <v>730</v>
      </c>
      <c r="E849" t="s">
        <v>14</v>
      </c>
      <c r="F849" t="s">
        <v>30</v>
      </c>
      <c r="G849" s="2">
        <v>46231.791666666657</v>
      </c>
      <c r="H849" s="2">
        <v>46232.291666666657</v>
      </c>
      <c r="I849">
        <v>12</v>
      </c>
      <c r="J849" t="s">
        <v>51</v>
      </c>
      <c r="K849" t="s">
        <v>731</v>
      </c>
    </row>
    <row r="850" spans="1:11" x14ac:dyDescent="0.2">
      <c r="A850" t="s">
        <v>959</v>
      </c>
      <c r="B850" s="1">
        <v>46231</v>
      </c>
      <c r="C850" t="s">
        <v>100</v>
      </c>
      <c r="D850" t="s">
        <v>730</v>
      </c>
      <c r="E850" t="s">
        <v>38</v>
      </c>
      <c r="F850" t="s">
        <v>23</v>
      </c>
      <c r="G850" s="2">
        <v>46231.291666666657</v>
      </c>
      <c r="H850" s="2">
        <v>46231.791666666657</v>
      </c>
      <c r="I850">
        <v>12</v>
      </c>
      <c r="J850" t="s">
        <v>55</v>
      </c>
      <c r="K850" t="s">
        <v>731</v>
      </c>
    </row>
    <row r="851" spans="1:11" x14ac:dyDescent="0.2">
      <c r="A851" t="s">
        <v>960</v>
      </c>
      <c r="B851" s="1">
        <v>46231</v>
      </c>
      <c r="C851" t="s">
        <v>100</v>
      </c>
      <c r="D851" t="s">
        <v>730</v>
      </c>
      <c r="E851" t="s">
        <v>38</v>
      </c>
      <c r="F851" t="s">
        <v>30</v>
      </c>
      <c r="G851" s="2">
        <v>46231.791666666657</v>
      </c>
      <c r="H851" s="2">
        <v>46232.291666666657</v>
      </c>
      <c r="I851">
        <v>12</v>
      </c>
      <c r="J851" t="s">
        <v>61</v>
      </c>
      <c r="K851" t="s">
        <v>731</v>
      </c>
    </row>
    <row r="852" spans="1:11" x14ac:dyDescent="0.2">
      <c r="A852" t="s">
        <v>961</v>
      </c>
      <c r="B852" s="1">
        <v>46231</v>
      </c>
      <c r="C852" t="s">
        <v>100</v>
      </c>
      <c r="D852" t="s">
        <v>730</v>
      </c>
      <c r="E852" t="s">
        <v>29</v>
      </c>
      <c r="F852" t="s">
        <v>23</v>
      </c>
      <c r="G852" s="2">
        <v>46231.291666666657</v>
      </c>
      <c r="H852" s="2">
        <v>46231.791666666657</v>
      </c>
      <c r="I852">
        <v>12</v>
      </c>
      <c r="J852" t="s">
        <v>65</v>
      </c>
      <c r="K852" t="s">
        <v>731</v>
      </c>
    </row>
    <row r="853" spans="1:11" x14ac:dyDescent="0.2">
      <c r="A853" t="s">
        <v>962</v>
      </c>
      <c r="B853" s="1">
        <v>46231</v>
      </c>
      <c r="C853" t="s">
        <v>100</v>
      </c>
      <c r="D853" t="s">
        <v>730</v>
      </c>
      <c r="E853" t="s">
        <v>29</v>
      </c>
      <c r="F853" t="s">
        <v>30</v>
      </c>
      <c r="G853" s="2">
        <v>46231.791666666657</v>
      </c>
      <c r="H853" s="2">
        <v>46232.291666666657</v>
      </c>
      <c r="I853">
        <v>12</v>
      </c>
      <c r="J853" t="s">
        <v>64</v>
      </c>
      <c r="K853" t="s">
        <v>731</v>
      </c>
    </row>
    <row r="854" spans="1:11" x14ac:dyDescent="0.2">
      <c r="A854" t="s">
        <v>963</v>
      </c>
      <c r="B854" s="1">
        <v>46231</v>
      </c>
      <c r="C854" t="s">
        <v>100</v>
      </c>
      <c r="D854" t="s">
        <v>730</v>
      </c>
      <c r="E854" t="s">
        <v>20</v>
      </c>
      <c r="F854" t="s">
        <v>23</v>
      </c>
      <c r="G854" s="2">
        <v>46231.291666666657</v>
      </c>
      <c r="H854" s="2">
        <v>46231.791666666657</v>
      </c>
      <c r="I854">
        <v>12</v>
      </c>
      <c r="J854" t="s">
        <v>67</v>
      </c>
      <c r="K854" t="s">
        <v>731</v>
      </c>
    </row>
    <row r="855" spans="1:11" x14ac:dyDescent="0.2">
      <c r="A855" t="s">
        <v>964</v>
      </c>
      <c r="B855" s="1">
        <v>46231</v>
      </c>
      <c r="C855" t="s">
        <v>100</v>
      </c>
      <c r="D855" t="s">
        <v>730</v>
      </c>
      <c r="E855" t="s">
        <v>20</v>
      </c>
      <c r="F855" t="s">
        <v>30</v>
      </c>
      <c r="G855" s="2">
        <v>46231.791666666657</v>
      </c>
      <c r="H855" s="2">
        <v>46232.291666666657</v>
      </c>
      <c r="I855">
        <v>12</v>
      </c>
      <c r="J855" t="s">
        <v>68</v>
      </c>
      <c r="K855" t="s">
        <v>731</v>
      </c>
    </row>
    <row r="856" spans="1:11" x14ac:dyDescent="0.2">
      <c r="A856" t="s">
        <v>965</v>
      </c>
      <c r="B856" s="1">
        <v>46231</v>
      </c>
      <c r="C856" t="s">
        <v>100</v>
      </c>
      <c r="D856" t="s">
        <v>730</v>
      </c>
      <c r="E856" t="s">
        <v>72</v>
      </c>
      <c r="F856" t="s">
        <v>23</v>
      </c>
      <c r="G856" s="2">
        <v>46231.291666666657</v>
      </c>
      <c r="H856" s="2">
        <v>46231.791666666657</v>
      </c>
      <c r="I856">
        <v>12</v>
      </c>
      <c r="J856" t="s">
        <v>74</v>
      </c>
      <c r="K856" t="s">
        <v>731</v>
      </c>
    </row>
    <row r="857" spans="1:11" x14ac:dyDescent="0.2">
      <c r="A857" t="s">
        <v>966</v>
      </c>
      <c r="B857" s="1">
        <v>46231</v>
      </c>
      <c r="C857" t="s">
        <v>100</v>
      </c>
      <c r="D857" t="s">
        <v>730</v>
      </c>
      <c r="E857" t="s">
        <v>72</v>
      </c>
      <c r="F857" t="s">
        <v>30</v>
      </c>
      <c r="G857" s="2">
        <v>46231.791666666657</v>
      </c>
      <c r="H857" s="2">
        <v>46232.291666666657</v>
      </c>
      <c r="I857">
        <v>12</v>
      </c>
      <c r="J857" t="s">
        <v>78</v>
      </c>
      <c r="K857" t="s">
        <v>731</v>
      </c>
    </row>
    <row r="858" spans="1:11" x14ac:dyDescent="0.2">
      <c r="A858" t="s">
        <v>967</v>
      </c>
      <c r="B858" s="1">
        <v>46231</v>
      </c>
      <c r="C858" t="s">
        <v>100</v>
      </c>
      <c r="D858" t="s">
        <v>730</v>
      </c>
      <c r="E858" t="s">
        <v>56</v>
      </c>
      <c r="F858" t="s">
        <v>23</v>
      </c>
      <c r="G858" s="2">
        <v>46231.291666666657</v>
      </c>
      <c r="H858" s="2">
        <v>46231.791666666657</v>
      </c>
      <c r="I858">
        <v>12</v>
      </c>
      <c r="J858" t="s">
        <v>80</v>
      </c>
      <c r="K858" t="s">
        <v>731</v>
      </c>
    </row>
    <row r="859" spans="1:11" x14ac:dyDescent="0.2">
      <c r="A859" t="s">
        <v>968</v>
      </c>
      <c r="B859" s="1">
        <v>46231</v>
      </c>
      <c r="C859" t="s">
        <v>100</v>
      </c>
      <c r="D859" t="s">
        <v>730</v>
      </c>
      <c r="E859" t="s">
        <v>56</v>
      </c>
      <c r="F859" t="s">
        <v>30</v>
      </c>
      <c r="G859" s="2">
        <v>46231.791666666657</v>
      </c>
      <c r="H859" s="2">
        <v>46232.291666666657</v>
      </c>
      <c r="I859">
        <v>12</v>
      </c>
      <c r="J859" t="s">
        <v>82</v>
      </c>
      <c r="K859" t="s">
        <v>731</v>
      </c>
    </row>
    <row r="860" spans="1:11" x14ac:dyDescent="0.2">
      <c r="A860" t="s">
        <v>969</v>
      </c>
      <c r="B860" s="1">
        <v>46231</v>
      </c>
      <c r="C860" t="s">
        <v>100</v>
      </c>
      <c r="D860" t="s">
        <v>730</v>
      </c>
      <c r="E860" t="s">
        <v>50</v>
      </c>
      <c r="F860" t="s">
        <v>23</v>
      </c>
      <c r="G860" s="2">
        <v>46231.291666666657</v>
      </c>
      <c r="H860" s="2">
        <v>46231.791666666657</v>
      </c>
      <c r="I860">
        <v>12</v>
      </c>
      <c r="J860" t="s">
        <v>87</v>
      </c>
      <c r="K860" t="s">
        <v>731</v>
      </c>
    </row>
    <row r="861" spans="1:11" x14ac:dyDescent="0.2">
      <c r="A861" t="s">
        <v>970</v>
      </c>
      <c r="B861" s="1">
        <v>46231</v>
      </c>
      <c r="C861" t="s">
        <v>100</v>
      </c>
      <c r="D861" t="s">
        <v>730</v>
      </c>
      <c r="E861" t="s">
        <v>50</v>
      </c>
      <c r="F861" t="s">
        <v>30</v>
      </c>
      <c r="G861" s="2">
        <v>46231.791666666657</v>
      </c>
      <c r="H861" s="2">
        <v>46232.291666666657</v>
      </c>
      <c r="I861">
        <v>12</v>
      </c>
      <c r="J861" t="s">
        <v>86</v>
      </c>
      <c r="K861" t="s">
        <v>731</v>
      </c>
    </row>
    <row r="862" spans="1:11" x14ac:dyDescent="0.2">
      <c r="A862" t="s">
        <v>971</v>
      </c>
      <c r="B862" s="1">
        <v>46232</v>
      </c>
      <c r="C862" t="s">
        <v>123</v>
      </c>
      <c r="D862" t="s">
        <v>730</v>
      </c>
      <c r="E862" t="s">
        <v>32</v>
      </c>
      <c r="F862" t="s">
        <v>23</v>
      </c>
      <c r="G862" s="2">
        <v>46232.291666666657</v>
      </c>
      <c r="H862" s="2">
        <v>46232.791666666657</v>
      </c>
      <c r="I862">
        <v>12</v>
      </c>
      <c r="J862" t="s">
        <v>13</v>
      </c>
      <c r="K862" t="s">
        <v>731</v>
      </c>
    </row>
    <row r="863" spans="1:11" x14ac:dyDescent="0.2">
      <c r="A863" t="s">
        <v>972</v>
      </c>
      <c r="B863" s="1">
        <v>46232</v>
      </c>
      <c r="C863" t="s">
        <v>123</v>
      </c>
      <c r="D863" t="s">
        <v>730</v>
      </c>
      <c r="E863" t="s">
        <v>32</v>
      </c>
      <c r="F863" t="s">
        <v>30</v>
      </c>
      <c r="G863" s="2">
        <v>46232.791666666657</v>
      </c>
      <c r="H863" s="2">
        <v>46233.291666666657</v>
      </c>
      <c r="I863">
        <v>12</v>
      </c>
      <c r="J863" t="s">
        <v>19</v>
      </c>
      <c r="K863" t="s">
        <v>731</v>
      </c>
    </row>
    <row r="864" spans="1:11" x14ac:dyDescent="0.2">
      <c r="A864" t="s">
        <v>973</v>
      </c>
      <c r="B864" s="1">
        <v>46232</v>
      </c>
      <c r="C864" t="s">
        <v>123</v>
      </c>
      <c r="D864" t="s">
        <v>730</v>
      </c>
      <c r="E864" t="s">
        <v>48</v>
      </c>
      <c r="F864" t="s">
        <v>23</v>
      </c>
      <c r="G864" s="2">
        <v>46232.291666666657</v>
      </c>
      <c r="H864" s="2">
        <v>46232.791666666657</v>
      </c>
      <c r="I864">
        <v>12</v>
      </c>
      <c r="J864" t="s">
        <v>37</v>
      </c>
      <c r="K864" t="s">
        <v>731</v>
      </c>
    </row>
    <row r="865" spans="1:11" x14ac:dyDescent="0.2">
      <c r="A865" t="s">
        <v>974</v>
      </c>
      <c r="B865" s="1">
        <v>46232</v>
      </c>
      <c r="C865" t="s">
        <v>123</v>
      </c>
      <c r="D865" t="s">
        <v>730</v>
      </c>
      <c r="E865" t="s">
        <v>48</v>
      </c>
      <c r="F865" t="s">
        <v>30</v>
      </c>
      <c r="G865" s="2">
        <v>46232.791666666657</v>
      </c>
      <c r="H865" s="2">
        <v>46233.291666666657</v>
      </c>
      <c r="I865">
        <v>12</v>
      </c>
      <c r="J865" t="s">
        <v>40</v>
      </c>
      <c r="K865" t="s">
        <v>731</v>
      </c>
    </row>
    <row r="866" spans="1:11" x14ac:dyDescent="0.2">
      <c r="A866" t="s">
        <v>975</v>
      </c>
      <c r="B866" s="1">
        <v>46232</v>
      </c>
      <c r="C866" t="s">
        <v>123</v>
      </c>
      <c r="D866" t="s">
        <v>730</v>
      </c>
      <c r="E866" t="s">
        <v>36</v>
      </c>
      <c r="F866" t="s">
        <v>23</v>
      </c>
      <c r="G866" s="2">
        <v>46232.291666666657</v>
      </c>
      <c r="H866" s="2">
        <v>46232.791666666657</v>
      </c>
      <c r="I866">
        <v>12</v>
      </c>
      <c r="J866" t="s">
        <v>44</v>
      </c>
      <c r="K866" t="s">
        <v>731</v>
      </c>
    </row>
    <row r="867" spans="1:11" x14ac:dyDescent="0.2">
      <c r="A867" t="s">
        <v>976</v>
      </c>
      <c r="B867" s="1">
        <v>46232</v>
      </c>
      <c r="C867" t="s">
        <v>123</v>
      </c>
      <c r="D867" t="s">
        <v>730</v>
      </c>
      <c r="E867" t="s">
        <v>36</v>
      </c>
      <c r="F867" t="s">
        <v>30</v>
      </c>
      <c r="G867" s="2">
        <v>46232.791666666657</v>
      </c>
      <c r="H867" s="2">
        <v>46233.291666666657</v>
      </c>
      <c r="I867">
        <v>12</v>
      </c>
      <c r="J867" t="s">
        <v>47</v>
      </c>
      <c r="K867" t="s">
        <v>731</v>
      </c>
    </row>
    <row r="868" spans="1:11" x14ac:dyDescent="0.2">
      <c r="A868" t="s">
        <v>977</v>
      </c>
      <c r="B868" s="1">
        <v>46232</v>
      </c>
      <c r="C868" t="s">
        <v>123</v>
      </c>
      <c r="D868" t="s">
        <v>730</v>
      </c>
      <c r="E868" t="s">
        <v>14</v>
      </c>
      <c r="F868" t="s">
        <v>23</v>
      </c>
      <c r="G868" s="2">
        <v>46232.291666666657</v>
      </c>
      <c r="H868" s="2">
        <v>46232.791666666657</v>
      </c>
      <c r="I868">
        <v>12</v>
      </c>
      <c r="J868" t="s">
        <v>51</v>
      </c>
      <c r="K868" t="s">
        <v>731</v>
      </c>
    </row>
    <row r="869" spans="1:11" x14ac:dyDescent="0.2">
      <c r="A869" t="s">
        <v>978</v>
      </c>
      <c r="B869" s="1">
        <v>46232</v>
      </c>
      <c r="C869" t="s">
        <v>123</v>
      </c>
      <c r="D869" t="s">
        <v>730</v>
      </c>
      <c r="E869" t="s">
        <v>14</v>
      </c>
      <c r="F869" t="s">
        <v>30</v>
      </c>
      <c r="G869" s="2">
        <v>46232.791666666657</v>
      </c>
      <c r="H869" s="2">
        <v>46233.291666666657</v>
      </c>
      <c r="I869">
        <v>12</v>
      </c>
      <c r="J869" t="s">
        <v>52</v>
      </c>
      <c r="K869" t="s">
        <v>731</v>
      </c>
    </row>
    <row r="870" spans="1:11" x14ac:dyDescent="0.2">
      <c r="A870" t="s">
        <v>979</v>
      </c>
      <c r="B870" s="1">
        <v>46232</v>
      </c>
      <c r="C870" t="s">
        <v>123</v>
      </c>
      <c r="D870" t="s">
        <v>730</v>
      </c>
      <c r="E870" t="s">
        <v>38</v>
      </c>
      <c r="F870" t="s">
        <v>23</v>
      </c>
      <c r="G870" s="2">
        <v>46232.291666666657</v>
      </c>
      <c r="H870" s="2">
        <v>46232.791666666657</v>
      </c>
      <c r="I870">
        <v>12</v>
      </c>
      <c r="J870" t="s">
        <v>58</v>
      </c>
      <c r="K870" t="s">
        <v>731</v>
      </c>
    </row>
    <row r="871" spans="1:11" x14ac:dyDescent="0.2">
      <c r="A871" t="s">
        <v>980</v>
      </c>
      <c r="B871" s="1">
        <v>46232</v>
      </c>
      <c r="C871" t="s">
        <v>123</v>
      </c>
      <c r="D871" t="s">
        <v>730</v>
      </c>
      <c r="E871" t="s">
        <v>38</v>
      </c>
      <c r="F871" t="s">
        <v>30</v>
      </c>
      <c r="G871" s="2">
        <v>46232.791666666657</v>
      </c>
      <c r="H871" s="2">
        <v>46233.291666666657</v>
      </c>
      <c r="I871">
        <v>12</v>
      </c>
      <c r="J871" t="s">
        <v>59</v>
      </c>
      <c r="K871" t="s">
        <v>731</v>
      </c>
    </row>
    <row r="872" spans="1:11" x14ac:dyDescent="0.2">
      <c r="A872" t="s">
        <v>981</v>
      </c>
      <c r="B872" s="1">
        <v>46232</v>
      </c>
      <c r="C872" t="s">
        <v>123</v>
      </c>
      <c r="D872" t="s">
        <v>730</v>
      </c>
      <c r="E872" t="s">
        <v>29</v>
      </c>
      <c r="F872" t="s">
        <v>23</v>
      </c>
      <c r="G872" s="2">
        <v>46232.291666666657</v>
      </c>
      <c r="H872" s="2">
        <v>46232.791666666657</v>
      </c>
      <c r="I872">
        <v>12</v>
      </c>
      <c r="J872" t="s">
        <v>62</v>
      </c>
      <c r="K872" t="s">
        <v>731</v>
      </c>
    </row>
    <row r="873" spans="1:11" x14ac:dyDescent="0.2">
      <c r="A873" t="s">
        <v>982</v>
      </c>
      <c r="B873" s="1">
        <v>46232</v>
      </c>
      <c r="C873" t="s">
        <v>123</v>
      </c>
      <c r="D873" t="s">
        <v>730</v>
      </c>
      <c r="E873" t="s">
        <v>29</v>
      </c>
      <c r="F873" t="s">
        <v>30</v>
      </c>
      <c r="G873" s="2">
        <v>46232.791666666657</v>
      </c>
      <c r="H873" s="2">
        <v>46233.291666666657</v>
      </c>
      <c r="I873">
        <v>12</v>
      </c>
      <c r="J873" t="s">
        <v>66</v>
      </c>
      <c r="K873" t="s">
        <v>731</v>
      </c>
    </row>
    <row r="874" spans="1:11" x14ac:dyDescent="0.2">
      <c r="A874" t="s">
        <v>983</v>
      </c>
      <c r="B874" s="1">
        <v>46232</v>
      </c>
      <c r="C874" t="s">
        <v>123</v>
      </c>
      <c r="D874" t="s">
        <v>730</v>
      </c>
      <c r="E874" t="s">
        <v>20</v>
      </c>
      <c r="F874" t="s">
        <v>23</v>
      </c>
      <c r="G874" s="2">
        <v>46232.291666666657</v>
      </c>
      <c r="H874" s="2">
        <v>46232.791666666657</v>
      </c>
      <c r="I874">
        <v>12</v>
      </c>
      <c r="J874" t="s">
        <v>71</v>
      </c>
      <c r="K874" t="s">
        <v>731</v>
      </c>
    </row>
    <row r="875" spans="1:11" x14ac:dyDescent="0.2">
      <c r="A875" t="s">
        <v>984</v>
      </c>
      <c r="B875" s="1">
        <v>46232</v>
      </c>
      <c r="C875" t="s">
        <v>123</v>
      </c>
      <c r="D875" t="s">
        <v>730</v>
      </c>
      <c r="E875" t="s">
        <v>20</v>
      </c>
      <c r="F875" t="s">
        <v>30</v>
      </c>
      <c r="G875" s="2">
        <v>46232.791666666657</v>
      </c>
      <c r="H875" s="2">
        <v>46233.291666666657</v>
      </c>
      <c r="I875">
        <v>12</v>
      </c>
      <c r="J875" t="s">
        <v>68</v>
      </c>
      <c r="K875" t="s">
        <v>731</v>
      </c>
    </row>
    <row r="876" spans="1:11" x14ac:dyDescent="0.2">
      <c r="A876" t="s">
        <v>985</v>
      </c>
      <c r="B876" s="1">
        <v>46232</v>
      </c>
      <c r="C876" t="s">
        <v>123</v>
      </c>
      <c r="D876" t="s">
        <v>730</v>
      </c>
      <c r="E876" t="s">
        <v>72</v>
      </c>
      <c r="F876" t="s">
        <v>23</v>
      </c>
      <c r="G876" s="2">
        <v>46232.291666666657</v>
      </c>
      <c r="H876" s="2">
        <v>46232.791666666657</v>
      </c>
      <c r="I876">
        <v>12</v>
      </c>
      <c r="J876" t="s">
        <v>76</v>
      </c>
      <c r="K876" t="s">
        <v>731</v>
      </c>
    </row>
    <row r="877" spans="1:11" x14ac:dyDescent="0.2">
      <c r="A877" t="s">
        <v>986</v>
      </c>
      <c r="B877" s="1">
        <v>46232</v>
      </c>
      <c r="C877" t="s">
        <v>123</v>
      </c>
      <c r="D877" t="s">
        <v>730</v>
      </c>
      <c r="E877" t="s">
        <v>72</v>
      </c>
      <c r="F877" t="s">
        <v>30</v>
      </c>
      <c r="G877" s="2">
        <v>46232.791666666657</v>
      </c>
      <c r="H877" s="2">
        <v>46233.291666666657</v>
      </c>
      <c r="I877">
        <v>12</v>
      </c>
      <c r="J877" t="s">
        <v>74</v>
      </c>
      <c r="K877" t="s">
        <v>731</v>
      </c>
    </row>
    <row r="878" spans="1:11" x14ac:dyDescent="0.2">
      <c r="A878" t="s">
        <v>987</v>
      </c>
      <c r="B878" s="1">
        <v>46232</v>
      </c>
      <c r="C878" t="s">
        <v>123</v>
      </c>
      <c r="D878" t="s">
        <v>730</v>
      </c>
      <c r="E878" t="s">
        <v>56</v>
      </c>
      <c r="F878" t="s">
        <v>23</v>
      </c>
      <c r="G878" s="2">
        <v>46232.291666666657</v>
      </c>
      <c r="H878" s="2">
        <v>46232.791666666657</v>
      </c>
      <c r="I878">
        <v>12</v>
      </c>
      <c r="J878" t="s">
        <v>83</v>
      </c>
      <c r="K878" t="s">
        <v>731</v>
      </c>
    </row>
    <row r="879" spans="1:11" x14ac:dyDescent="0.2">
      <c r="A879" t="s">
        <v>988</v>
      </c>
      <c r="B879" s="1">
        <v>46232</v>
      </c>
      <c r="C879" t="s">
        <v>123</v>
      </c>
      <c r="D879" t="s">
        <v>730</v>
      </c>
      <c r="E879" t="s">
        <v>56</v>
      </c>
      <c r="F879" t="s">
        <v>30</v>
      </c>
      <c r="G879" s="2">
        <v>46232.791666666657</v>
      </c>
      <c r="H879" s="2">
        <v>46233.291666666657</v>
      </c>
      <c r="I879">
        <v>12</v>
      </c>
      <c r="J879" t="s">
        <v>79</v>
      </c>
      <c r="K879" t="s">
        <v>731</v>
      </c>
    </row>
    <row r="880" spans="1:11" x14ac:dyDescent="0.2">
      <c r="A880" t="s">
        <v>989</v>
      </c>
      <c r="B880" s="1">
        <v>46232</v>
      </c>
      <c r="C880" t="s">
        <v>123</v>
      </c>
      <c r="D880" t="s">
        <v>730</v>
      </c>
      <c r="E880" t="s">
        <v>50</v>
      </c>
      <c r="F880" t="s">
        <v>23</v>
      </c>
      <c r="G880" s="2">
        <v>46232.291666666657</v>
      </c>
      <c r="H880" s="2">
        <v>46232.791666666657</v>
      </c>
      <c r="I880">
        <v>12</v>
      </c>
      <c r="J880" t="s">
        <v>85</v>
      </c>
      <c r="K880" t="s">
        <v>731</v>
      </c>
    </row>
    <row r="881" spans="1:11" x14ac:dyDescent="0.2">
      <c r="A881" t="s">
        <v>990</v>
      </c>
      <c r="B881" s="1">
        <v>46232</v>
      </c>
      <c r="C881" t="s">
        <v>123</v>
      </c>
      <c r="D881" t="s">
        <v>730</v>
      </c>
      <c r="E881" t="s">
        <v>50</v>
      </c>
      <c r="F881" t="s">
        <v>30</v>
      </c>
      <c r="G881" s="2">
        <v>46232.791666666657</v>
      </c>
      <c r="H881" s="2">
        <v>46233.291666666657</v>
      </c>
      <c r="I881">
        <v>12</v>
      </c>
      <c r="J881" t="s">
        <v>86</v>
      </c>
      <c r="K881" t="s">
        <v>731</v>
      </c>
    </row>
    <row r="882" spans="1:11" x14ac:dyDescent="0.2">
      <c r="A882" t="s">
        <v>991</v>
      </c>
      <c r="B882" s="1">
        <v>46233</v>
      </c>
      <c r="C882" t="s">
        <v>144</v>
      </c>
      <c r="D882" t="s">
        <v>730</v>
      </c>
      <c r="E882" t="s">
        <v>32</v>
      </c>
      <c r="F882" t="s">
        <v>23</v>
      </c>
      <c r="G882" s="2">
        <v>46233.291666666657</v>
      </c>
      <c r="H882" s="2">
        <v>46233.791666666657</v>
      </c>
      <c r="I882">
        <v>12</v>
      </c>
      <c r="J882" t="s">
        <v>31</v>
      </c>
      <c r="K882" t="s">
        <v>731</v>
      </c>
    </row>
    <row r="883" spans="1:11" x14ac:dyDescent="0.2">
      <c r="A883" t="s">
        <v>992</v>
      </c>
      <c r="B883" s="1">
        <v>46233</v>
      </c>
      <c r="C883" t="s">
        <v>144</v>
      </c>
      <c r="D883" t="s">
        <v>730</v>
      </c>
      <c r="E883" t="s">
        <v>32</v>
      </c>
      <c r="F883" t="s">
        <v>30</v>
      </c>
      <c r="G883" s="2">
        <v>46233.791666666657</v>
      </c>
      <c r="H883" s="2">
        <v>46234.291666666657</v>
      </c>
      <c r="I883">
        <v>12</v>
      </c>
      <c r="J883" t="s">
        <v>19</v>
      </c>
      <c r="K883" t="s">
        <v>731</v>
      </c>
    </row>
    <row r="884" spans="1:11" x14ac:dyDescent="0.2">
      <c r="A884" t="s">
        <v>993</v>
      </c>
      <c r="B884" s="1">
        <v>46233</v>
      </c>
      <c r="C884" t="s">
        <v>144</v>
      </c>
      <c r="D884" t="s">
        <v>730</v>
      </c>
      <c r="E884" t="s">
        <v>48</v>
      </c>
      <c r="F884" t="s">
        <v>23</v>
      </c>
      <c r="G884" s="2">
        <v>46233.291666666657</v>
      </c>
      <c r="H884" s="2">
        <v>46233.791666666657</v>
      </c>
      <c r="I884">
        <v>12</v>
      </c>
      <c r="J884" t="s">
        <v>41</v>
      </c>
      <c r="K884" t="s">
        <v>731</v>
      </c>
    </row>
    <row r="885" spans="1:11" x14ac:dyDescent="0.2">
      <c r="A885" t="s">
        <v>994</v>
      </c>
      <c r="B885" s="1">
        <v>46233</v>
      </c>
      <c r="C885" t="s">
        <v>144</v>
      </c>
      <c r="D885" t="s">
        <v>730</v>
      </c>
      <c r="E885" t="s">
        <v>48</v>
      </c>
      <c r="F885" t="s">
        <v>30</v>
      </c>
      <c r="G885" s="2">
        <v>46233.791666666657</v>
      </c>
      <c r="H885" s="2">
        <v>46234.291666666657</v>
      </c>
      <c r="I885">
        <v>12</v>
      </c>
      <c r="J885" t="s">
        <v>35</v>
      </c>
      <c r="K885" t="s">
        <v>731</v>
      </c>
    </row>
    <row r="886" spans="1:11" x14ac:dyDescent="0.2">
      <c r="A886" t="s">
        <v>995</v>
      </c>
      <c r="B886" s="1">
        <v>46233</v>
      </c>
      <c r="C886" t="s">
        <v>144</v>
      </c>
      <c r="D886" t="s">
        <v>730</v>
      </c>
      <c r="E886" t="s">
        <v>36</v>
      </c>
      <c r="F886" t="s">
        <v>23</v>
      </c>
      <c r="G886" s="2">
        <v>46233.291666666657</v>
      </c>
      <c r="H886" s="2">
        <v>46233.791666666657</v>
      </c>
      <c r="I886">
        <v>12</v>
      </c>
      <c r="J886" t="s">
        <v>47</v>
      </c>
      <c r="K886" t="s">
        <v>731</v>
      </c>
    </row>
    <row r="887" spans="1:11" x14ac:dyDescent="0.2">
      <c r="A887" t="s">
        <v>996</v>
      </c>
      <c r="B887" s="1">
        <v>46233</v>
      </c>
      <c r="C887" t="s">
        <v>144</v>
      </c>
      <c r="D887" t="s">
        <v>730</v>
      </c>
      <c r="E887" t="s">
        <v>36</v>
      </c>
      <c r="F887" t="s">
        <v>30</v>
      </c>
      <c r="G887" s="2">
        <v>46233.791666666657</v>
      </c>
      <c r="H887" s="2">
        <v>46234.291666666657</v>
      </c>
      <c r="I887">
        <v>12</v>
      </c>
      <c r="J887" t="s">
        <v>46</v>
      </c>
      <c r="K887" t="s">
        <v>731</v>
      </c>
    </row>
    <row r="888" spans="1:11" x14ac:dyDescent="0.2">
      <c r="A888" t="s">
        <v>997</v>
      </c>
      <c r="B888" s="1">
        <v>46233</v>
      </c>
      <c r="C888" t="s">
        <v>144</v>
      </c>
      <c r="D888" t="s">
        <v>730</v>
      </c>
      <c r="E888" t="s">
        <v>14</v>
      </c>
      <c r="F888" t="s">
        <v>23</v>
      </c>
      <c r="G888" s="2">
        <v>46233.291666666657</v>
      </c>
      <c r="H888" s="2">
        <v>46233.791666666657</v>
      </c>
      <c r="I888">
        <v>12</v>
      </c>
      <c r="J888" t="s">
        <v>52</v>
      </c>
      <c r="K888" t="s">
        <v>731</v>
      </c>
    </row>
    <row r="889" spans="1:11" x14ac:dyDescent="0.2">
      <c r="A889" t="s">
        <v>998</v>
      </c>
      <c r="B889" s="1">
        <v>46233</v>
      </c>
      <c r="C889" t="s">
        <v>144</v>
      </c>
      <c r="D889" t="s">
        <v>730</v>
      </c>
      <c r="E889" t="s">
        <v>14</v>
      </c>
      <c r="F889" t="s">
        <v>30</v>
      </c>
      <c r="G889" s="2">
        <v>46233.791666666657</v>
      </c>
      <c r="H889" s="2">
        <v>46234.291666666657</v>
      </c>
      <c r="I889">
        <v>12</v>
      </c>
      <c r="J889" t="s">
        <v>53</v>
      </c>
      <c r="K889" t="s">
        <v>731</v>
      </c>
    </row>
    <row r="890" spans="1:11" x14ac:dyDescent="0.2">
      <c r="A890" t="s">
        <v>999</v>
      </c>
      <c r="B890" s="1">
        <v>46233</v>
      </c>
      <c r="C890" t="s">
        <v>144</v>
      </c>
      <c r="D890" t="s">
        <v>730</v>
      </c>
      <c r="E890" t="s">
        <v>38</v>
      </c>
      <c r="F890" t="s">
        <v>23</v>
      </c>
      <c r="G890" s="2">
        <v>46233.291666666657</v>
      </c>
      <c r="H890" s="2">
        <v>46233.791666666657</v>
      </c>
      <c r="I890">
        <v>12</v>
      </c>
      <c r="J890" t="s">
        <v>61</v>
      </c>
      <c r="K890" t="s">
        <v>731</v>
      </c>
    </row>
    <row r="891" spans="1:11" x14ac:dyDescent="0.2">
      <c r="A891" t="s">
        <v>1000</v>
      </c>
      <c r="B891" s="1">
        <v>46233</v>
      </c>
      <c r="C891" t="s">
        <v>144</v>
      </c>
      <c r="D891" t="s">
        <v>730</v>
      </c>
      <c r="E891" t="s">
        <v>38</v>
      </c>
      <c r="F891" t="s">
        <v>30</v>
      </c>
      <c r="G891" s="2">
        <v>46233.791666666657</v>
      </c>
      <c r="H891" s="2">
        <v>46234.291666666657</v>
      </c>
      <c r="I891">
        <v>12</v>
      </c>
      <c r="J891" t="s">
        <v>55</v>
      </c>
      <c r="K891" t="s">
        <v>731</v>
      </c>
    </row>
    <row r="892" spans="1:11" x14ac:dyDescent="0.2">
      <c r="A892" t="s">
        <v>1001</v>
      </c>
      <c r="B892" s="1">
        <v>46233</v>
      </c>
      <c r="C892" t="s">
        <v>144</v>
      </c>
      <c r="D892" t="s">
        <v>730</v>
      </c>
      <c r="E892" t="s">
        <v>29</v>
      </c>
      <c r="F892" t="s">
        <v>23</v>
      </c>
      <c r="G892" s="2">
        <v>46233.291666666657</v>
      </c>
      <c r="H892" s="2">
        <v>46233.791666666657</v>
      </c>
      <c r="I892">
        <v>12</v>
      </c>
      <c r="J892" t="s">
        <v>63</v>
      </c>
      <c r="K892" t="s">
        <v>731</v>
      </c>
    </row>
    <row r="893" spans="1:11" x14ac:dyDescent="0.2">
      <c r="A893" t="s">
        <v>1002</v>
      </c>
      <c r="B893" s="1">
        <v>46233</v>
      </c>
      <c r="C893" t="s">
        <v>144</v>
      </c>
      <c r="D893" t="s">
        <v>730</v>
      </c>
      <c r="E893" t="s">
        <v>29</v>
      </c>
      <c r="F893" t="s">
        <v>30</v>
      </c>
      <c r="G893" s="2">
        <v>46233.791666666657</v>
      </c>
      <c r="H893" s="2">
        <v>46234.291666666657</v>
      </c>
      <c r="I893">
        <v>12</v>
      </c>
      <c r="J893" t="s">
        <v>65</v>
      </c>
      <c r="K893" t="s">
        <v>731</v>
      </c>
    </row>
    <row r="894" spans="1:11" x14ac:dyDescent="0.2">
      <c r="A894" t="s">
        <v>1003</v>
      </c>
      <c r="B894" s="1">
        <v>46233</v>
      </c>
      <c r="C894" t="s">
        <v>144</v>
      </c>
      <c r="D894" t="s">
        <v>730</v>
      </c>
      <c r="E894" t="s">
        <v>20</v>
      </c>
      <c r="F894" t="s">
        <v>23</v>
      </c>
      <c r="G894" s="2">
        <v>46233.291666666657</v>
      </c>
      <c r="H894" s="2">
        <v>46233.791666666657</v>
      </c>
      <c r="I894">
        <v>12</v>
      </c>
      <c r="J894" t="s">
        <v>69</v>
      </c>
      <c r="K894" t="s">
        <v>731</v>
      </c>
    </row>
    <row r="895" spans="1:11" x14ac:dyDescent="0.2">
      <c r="A895" t="s">
        <v>1004</v>
      </c>
      <c r="B895" s="1">
        <v>46233</v>
      </c>
      <c r="C895" t="s">
        <v>144</v>
      </c>
      <c r="D895" t="s">
        <v>730</v>
      </c>
      <c r="E895" t="s">
        <v>20</v>
      </c>
      <c r="F895" t="s">
        <v>30</v>
      </c>
      <c r="G895" s="2">
        <v>46233.791666666657</v>
      </c>
      <c r="H895" s="2">
        <v>46234.291666666657</v>
      </c>
      <c r="I895">
        <v>12</v>
      </c>
      <c r="J895" t="s">
        <v>67</v>
      </c>
      <c r="K895" t="s">
        <v>731</v>
      </c>
    </row>
    <row r="896" spans="1:11" x14ac:dyDescent="0.2">
      <c r="A896" t="s">
        <v>1005</v>
      </c>
      <c r="B896" s="1">
        <v>46233</v>
      </c>
      <c r="C896" t="s">
        <v>144</v>
      </c>
      <c r="D896" t="s">
        <v>730</v>
      </c>
      <c r="E896" t="s">
        <v>72</v>
      </c>
      <c r="F896" t="s">
        <v>23</v>
      </c>
      <c r="G896" s="2">
        <v>46233.291666666657</v>
      </c>
      <c r="H896" s="2">
        <v>46233.791666666657</v>
      </c>
      <c r="I896">
        <v>12</v>
      </c>
      <c r="J896" t="s">
        <v>75</v>
      </c>
      <c r="K896" t="s">
        <v>731</v>
      </c>
    </row>
    <row r="897" spans="1:11" x14ac:dyDescent="0.2">
      <c r="A897" t="s">
        <v>1006</v>
      </c>
      <c r="B897" s="1">
        <v>46233</v>
      </c>
      <c r="C897" t="s">
        <v>144</v>
      </c>
      <c r="D897" t="s">
        <v>730</v>
      </c>
      <c r="E897" t="s">
        <v>72</v>
      </c>
      <c r="F897" t="s">
        <v>30</v>
      </c>
      <c r="G897" s="2">
        <v>46233.791666666657</v>
      </c>
      <c r="H897" s="2">
        <v>46234.291666666657</v>
      </c>
      <c r="I897">
        <v>12</v>
      </c>
      <c r="J897" t="s">
        <v>74</v>
      </c>
      <c r="K897" t="s">
        <v>731</v>
      </c>
    </row>
    <row r="898" spans="1:11" x14ac:dyDescent="0.2">
      <c r="A898" t="s">
        <v>1007</v>
      </c>
      <c r="B898" s="1">
        <v>46233</v>
      </c>
      <c r="C898" t="s">
        <v>144</v>
      </c>
      <c r="D898" t="s">
        <v>730</v>
      </c>
      <c r="E898" t="s">
        <v>56</v>
      </c>
      <c r="F898" t="s">
        <v>23</v>
      </c>
      <c r="G898" s="2">
        <v>46233.291666666657</v>
      </c>
      <c r="H898" s="2">
        <v>46233.791666666657</v>
      </c>
      <c r="I898">
        <v>12</v>
      </c>
      <c r="J898" t="s">
        <v>83</v>
      </c>
      <c r="K898" t="s">
        <v>731</v>
      </c>
    </row>
    <row r="899" spans="1:11" x14ac:dyDescent="0.2">
      <c r="A899" t="s">
        <v>1008</v>
      </c>
      <c r="B899" s="1">
        <v>46233</v>
      </c>
      <c r="C899" t="s">
        <v>144</v>
      </c>
      <c r="D899" t="s">
        <v>730</v>
      </c>
      <c r="E899" t="s">
        <v>56</v>
      </c>
      <c r="F899" t="s">
        <v>30</v>
      </c>
      <c r="G899" s="2">
        <v>46233.791666666657</v>
      </c>
      <c r="H899" s="2">
        <v>46234.291666666657</v>
      </c>
      <c r="I899">
        <v>12</v>
      </c>
      <c r="J899" t="s">
        <v>82</v>
      </c>
      <c r="K899" t="s">
        <v>731</v>
      </c>
    </row>
    <row r="900" spans="1:11" x14ac:dyDescent="0.2">
      <c r="A900" t="s">
        <v>1009</v>
      </c>
      <c r="B900" s="1">
        <v>46233</v>
      </c>
      <c r="C900" t="s">
        <v>144</v>
      </c>
      <c r="D900" t="s">
        <v>730</v>
      </c>
      <c r="E900" t="s">
        <v>50</v>
      </c>
      <c r="F900" t="s">
        <v>23</v>
      </c>
      <c r="G900" s="2">
        <v>46233.291666666657</v>
      </c>
      <c r="H900" s="2">
        <v>46233.791666666657</v>
      </c>
      <c r="I900">
        <v>12</v>
      </c>
      <c r="J900" t="s">
        <v>85</v>
      </c>
      <c r="K900" t="s">
        <v>731</v>
      </c>
    </row>
    <row r="901" spans="1:11" x14ac:dyDescent="0.2">
      <c r="A901" t="s">
        <v>1010</v>
      </c>
      <c r="B901" s="1">
        <v>46233</v>
      </c>
      <c r="C901" t="s">
        <v>144</v>
      </c>
      <c r="D901" t="s">
        <v>730</v>
      </c>
      <c r="E901" t="s">
        <v>50</v>
      </c>
      <c r="F901" t="s">
        <v>30</v>
      </c>
      <c r="G901" s="2">
        <v>46233.791666666657</v>
      </c>
      <c r="H901" s="2">
        <v>46234.291666666657</v>
      </c>
      <c r="I901">
        <v>12</v>
      </c>
      <c r="J901" t="s">
        <v>84</v>
      </c>
      <c r="K901" t="s">
        <v>731</v>
      </c>
    </row>
    <row r="902" spans="1:11" x14ac:dyDescent="0.2">
      <c r="A902" t="s">
        <v>1011</v>
      </c>
      <c r="B902" s="1">
        <v>46234</v>
      </c>
      <c r="C902" t="s">
        <v>165</v>
      </c>
      <c r="D902" t="s">
        <v>730</v>
      </c>
      <c r="E902" t="s">
        <v>32</v>
      </c>
      <c r="F902" t="s">
        <v>23</v>
      </c>
      <c r="G902" s="2">
        <v>46234.291666666657</v>
      </c>
      <c r="H902" s="2">
        <v>46234.791666666657</v>
      </c>
      <c r="I902">
        <v>12</v>
      </c>
      <c r="J902" t="s">
        <v>13</v>
      </c>
      <c r="K902" t="s">
        <v>731</v>
      </c>
    </row>
    <row r="903" spans="1:11" x14ac:dyDescent="0.2">
      <c r="A903" t="s">
        <v>1012</v>
      </c>
      <c r="B903" s="1">
        <v>46234</v>
      </c>
      <c r="C903" t="s">
        <v>165</v>
      </c>
      <c r="D903" t="s">
        <v>730</v>
      </c>
      <c r="E903" t="s">
        <v>32</v>
      </c>
      <c r="F903" t="s">
        <v>30</v>
      </c>
      <c r="G903" s="2">
        <v>46234.791666666657</v>
      </c>
      <c r="H903" s="2">
        <v>46235.291666666657</v>
      </c>
      <c r="I903">
        <v>12</v>
      </c>
      <c r="J903" t="s">
        <v>31</v>
      </c>
      <c r="K903" t="s">
        <v>731</v>
      </c>
    </row>
    <row r="904" spans="1:11" x14ac:dyDescent="0.2">
      <c r="A904" t="s">
        <v>1013</v>
      </c>
      <c r="B904" s="1">
        <v>46234</v>
      </c>
      <c r="C904" t="s">
        <v>165</v>
      </c>
      <c r="D904" t="s">
        <v>730</v>
      </c>
      <c r="E904" t="s">
        <v>48</v>
      </c>
      <c r="F904" t="s">
        <v>23</v>
      </c>
      <c r="G904" s="2">
        <v>46234.291666666657</v>
      </c>
      <c r="H904" s="2">
        <v>46234.791666666657</v>
      </c>
      <c r="I904">
        <v>12</v>
      </c>
      <c r="J904" t="s">
        <v>35</v>
      </c>
      <c r="K904" t="s">
        <v>731</v>
      </c>
    </row>
    <row r="905" spans="1:11" x14ac:dyDescent="0.2">
      <c r="A905" t="s">
        <v>1014</v>
      </c>
      <c r="B905" s="1">
        <v>46234</v>
      </c>
      <c r="C905" t="s">
        <v>165</v>
      </c>
      <c r="D905" t="s">
        <v>730</v>
      </c>
      <c r="E905" t="s">
        <v>48</v>
      </c>
      <c r="F905" t="s">
        <v>30</v>
      </c>
      <c r="G905" s="2">
        <v>46234.791666666657</v>
      </c>
      <c r="H905" s="2">
        <v>46235.291666666657</v>
      </c>
      <c r="I905">
        <v>12</v>
      </c>
      <c r="J905" t="s">
        <v>37</v>
      </c>
      <c r="K905" t="s">
        <v>731</v>
      </c>
    </row>
    <row r="906" spans="1:11" x14ac:dyDescent="0.2">
      <c r="A906" t="s">
        <v>1015</v>
      </c>
      <c r="B906" s="1">
        <v>46234</v>
      </c>
      <c r="C906" t="s">
        <v>165</v>
      </c>
      <c r="D906" t="s">
        <v>730</v>
      </c>
      <c r="E906" t="s">
        <v>36</v>
      </c>
      <c r="F906" t="s">
        <v>23</v>
      </c>
      <c r="G906" s="2">
        <v>46234.291666666657</v>
      </c>
      <c r="H906" s="2">
        <v>46234.791666666657</v>
      </c>
      <c r="I906">
        <v>12</v>
      </c>
      <c r="J906" t="s">
        <v>43</v>
      </c>
      <c r="K906" t="s">
        <v>731</v>
      </c>
    </row>
    <row r="907" spans="1:11" x14ac:dyDescent="0.2">
      <c r="A907" t="s">
        <v>1016</v>
      </c>
      <c r="B907" s="1">
        <v>46234</v>
      </c>
      <c r="C907" t="s">
        <v>165</v>
      </c>
      <c r="D907" t="s">
        <v>730</v>
      </c>
      <c r="E907" t="s">
        <v>36</v>
      </c>
      <c r="F907" t="s">
        <v>30</v>
      </c>
      <c r="G907" s="2">
        <v>46234.791666666657</v>
      </c>
      <c r="H907" s="2">
        <v>46235.291666666657</v>
      </c>
      <c r="I907">
        <v>12</v>
      </c>
      <c r="J907" t="s">
        <v>45</v>
      </c>
      <c r="K907" t="s">
        <v>731</v>
      </c>
    </row>
    <row r="908" spans="1:11" x14ac:dyDescent="0.2">
      <c r="A908" t="s">
        <v>1017</v>
      </c>
      <c r="B908" s="1">
        <v>46234</v>
      </c>
      <c r="C908" t="s">
        <v>165</v>
      </c>
      <c r="D908" t="s">
        <v>730</v>
      </c>
      <c r="E908" t="s">
        <v>14</v>
      </c>
      <c r="F908" t="s">
        <v>23</v>
      </c>
      <c r="G908" s="2">
        <v>46234.291666666657</v>
      </c>
      <c r="H908" s="2">
        <v>46234.791666666657</v>
      </c>
      <c r="I908">
        <v>12</v>
      </c>
      <c r="J908" t="s">
        <v>53</v>
      </c>
      <c r="K908" t="s">
        <v>731</v>
      </c>
    </row>
    <row r="909" spans="1:11" x14ac:dyDescent="0.2">
      <c r="A909" t="s">
        <v>1018</v>
      </c>
      <c r="B909" s="1">
        <v>46234</v>
      </c>
      <c r="C909" t="s">
        <v>165</v>
      </c>
      <c r="D909" t="s">
        <v>730</v>
      </c>
      <c r="E909" t="s">
        <v>14</v>
      </c>
      <c r="F909" t="s">
        <v>30</v>
      </c>
      <c r="G909" s="2">
        <v>46234.791666666657</v>
      </c>
      <c r="H909" s="2">
        <v>46235.291666666657</v>
      </c>
      <c r="I909">
        <v>12</v>
      </c>
      <c r="J909" t="s">
        <v>49</v>
      </c>
      <c r="K909" t="s">
        <v>731</v>
      </c>
    </row>
    <row r="910" spans="1:11" x14ac:dyDescent="0.2">
      <c r="A910" t="s">
        <v>1019</v>
      </c>
      <c r="B910" s="1">
        <v>46234</v>
      </c>
      <c r="C910" t="s">
        <v>165</v>
      </c>
      <c r="D910" t="s">
        <v>730</v>
      </c>
      <c r="E910" t="s">
        <v>38</v>
      </c>
      <c r="F910" t="s">
        <v>23</v>
      </c>
      <c r="G910" s="2">
        <v>46234.291666666657</v>
      </c>
      <c r="H910" s="2">
        <v>46234.791666666657</v>
      </c>
      <c r="I910">
        <v>12</v>
      </c>
      <c r="J910" t="s">
        <v>55</v>
      </c>
      <c r="K910" t="s">
        <v>731</v>
      </c>
    </row>
    <row r="911" spans="1:11" x14ac:dyDescent="0.2">
      <c r="A911" t="s">
        <v>1020</v>
      </c>
      <c r="B911" s="1">
        <v>46234</v>
      </c>
      <c r="C911" t="s">
        <v>165</v>
      </c>
      <c r="D911" t="s">
        <v>730</v>
      </c>
      <c r="E911" t="s">
        <v>38</v>
      </c>
      <c r="F911" t="s">
        <v>30</v>
      </c>
      <c r="G911" s="2">
        <v>46234.791666666657</v>
      </c>
      <c r="H911" s="2">
        <v>46235.291666666657</v>
      </c>
      <c r="I911">
        <v>12</v>
      </c>
      <c r="J911" t="s">
        <v>59</v>
      </c>
      <c r="K911" t="s">
        <v>731</v>
      </c>
    </row>
    <row r="912" spans="1:11" x14ac:dyDescent="0.2">
      <c r="A912" t="s">
        <v>1021</v>
      </c>
      <c r="B912" s="1">
        <v>46234</v>
      </c>
      <c r="C912" t="s">
        <v>165</v>
      </c>
      <c r="D912" t="s">
        <v>730</v>
      </c>
      <c r="E912" t="s">
        <v>29</v>
      </c>
      <c r="F912" t="s">
        <v>23</v>
      </c>
      <c r="G912" s="2">
        <v>46234.291666666657</v>
      </c>
      <c r="H912" s="2">
        <v>46234.791666666657</v>
      </c>
      <c r="I912">
        <v>12</v>
      </c>
      <c r="J912" t="s">
        <v>63</v>
      </c>
      <c r="K912" t="s">
        <v>731</v>
      </c>
    </row>
    <row r="913" spans="1:11" x14ac:dyDescent="0.2">
      <c r="A913" t="s">
        <v>1022</v>
      </c>
      <c r="B913" s="1">
        <v>46234</v>
      </c>
      <c r="C913" t="s">
        <v>165</v>
      </c>
      <c r="D913" t="s">
        <v>730</v>
      </c>
      <c r="E913" t="s">
        <v>29</v>
      </c>
      <c r="F913" t="s">
        <v>30</v>
      </c>
      <c r="G913" s="2">
        <v>46234.791666666657</v>
      </c>
      <c r="H913" s="2">
        <v>46235.291666666657</v>
      </c>
      <c r="I913">
        <v>12</v>
      </c>
      <c r="J913" t="s">
        <v>64</v>
      </c>
      <c r="K913" t="s">
        <v>731</v>
      </c>
    </row>
    <row r="914" spans="1:11" x14ac:dyDescent="0.2">
      <c r="A914" t="s">
        <v>1023</v>
      </c>
      <c r="B914" s="1">
        <v>46234</v>
      </c>
      <c r="C914" t="s">
        <v>165</v>
      </c>
      <c r="D914" t="s">
        <v>730</v>
      </c>
      <c r="E914" t="s">
        <v>20</v>
      </c>
      <c r="F914" t="s">
        <v>23</v>
      </c>
      <c r="G914" s="2">
        <v>46234.291666666657</v>
      </c>
      <c r="H914" s="2">
        <v>46234.791666666657</v>
      </c>
      <c r="I914">
        <v>12</v>
      </c>
      <c r="J914" t="s">
        <v>67</v>
      </c>
      <c r="K914" t="s">
        <v>731</v>
      </c>
    </row>
    <row r="915" spans="1:11" x14ac:dyDescent="0.2">
      <c r="A915" t="s">
        <v>1024</v>
      </c>
      <c r="B915" s="1">
        <v>46234</v>
      </c>
      <c r="C915" t="s">
        <v>165</v>
      </c>
      <c r="D915" t="s">
        <v>730</v>
      </c>
      <c r="E915" t="s">
        <v>20</v>
      </c>
      <c r="F915" t="s">
        <v>30</v>
      </c>
      <c r="G915" s="2">
        <v>46234.791666666657</v>
      </c>
      <c r="H915" s="2">
        <v>46235.291666666657</v>
      </c>
      <c r="I915">
        <v>12</v>
      </c>
      <c r="J915" t="s">
        <v>68</v>
      </c>
      <c r="K915" t="s">
        <v>731</v>
      </c>
    </row>
    <row r="916" spans="1:11" x14ac:dyDescent="0.2">
      <c r="A916" t="s">
        <v>1025</v>
      </c>
      <c r="B916" s="1">
        <v>46234</v>
      </c>
      <c r="C916" t="s">
        <v>165</v>
      </c>
      <c r="D916" t="s">
        <v>730</v>
      </c>
      <c r="E916" t="s">
        <v>72</v>
      </c>
      <c r="F916" t="s">
        <v>23</v>
      </c>
      <c r="G916" s="2">
        <v>46234.291666666657</v>
      </c>
      <c r="H916" s="2">
        <v>46234.791666666657</v>
      </c>
      <c r="I916">
        <v>12</v>
      </c>
      <c r="J916" t="s">
        <v>78</v>
      </c>
      <c r="K916" t="s">
        <v>731</v>
      </c>
    </row>
    <row r="917" spans="1:11" x14ac:dyDescent="0.2">
      <c r="A917" t="s">
        <v>1026</v>
      </c>
      <c r="B917" s="1">
        <v>46234</v>
      </c>
      <c r="C917" t="s">
        <v>165</v>
      </c>
      <c r="D917" t="s">
        <v>730</v>
      </c>
      <c r="E917" t="s">
        <v>72</v>
      </c>
      <c r="F917" t="s">
        <v>30</v>
      </c>
      <c r="G917" s="2">
        <v>46234.791666666657</v>
      </c>
      <c r="H917" s="2">
        <v>46235.291666666657</v>
      </c>
      <c r="I917">
        <v>12</v>
      </c>
      <c r="J917" t="s">
        <v>75</v>
      </c>
      <c r="K917" t="s">
        <v>731</v>
      </c>
    </row>
    <row r="918" spans="1:11" x14ac:dyDescent="0.2">
      <c r="A918" t="s">
        <v>1027</v>
      </c>
      <c r="B918" s="1">
        <v>46234</v>
      </c>
      <c r="C918" t="s">
        <v>165</v>
      </c>
      <c r="D918" t="s">
        <v>730</v>
      </c>
      <c r="E918" t="s">
        <v>56</v>
      </c>
      <c r="F918" t="s">
        <v>23</v>
      </c>
      <c r="G918" s="2">
        <v>46234.291666666657</v>
      </c>
      <c r="H918" s="2">
        <v>46234.791666666657</v>
      </c>
      <c r="I918">
        <v>12</v>
      </c>
      <c r="J918" t="s">
        <v>80</v>
      </c>
      <c r="K918" t="s">
        <v>731</v>
      </c>
    </row>
    <row r="919" spans="1:11" x14ac:dyDescent="0.2">
      <c r="A919" t="s">
        <v>1028</v>
      </c>
      <c r="B919" s="1">
        <v>46234</v>
      </c>
      <c r="C919" t="s">
        <v>165</v>
      </c>
      <c r="D919" t="s">
        <v>730</v>
      </c>
      <c r="E919" t="s">
        <v>56</v>
      </c>
      <c r="F919" t="s">
        <v>30</v>
      </c>
      <c r="G919" s="2">
        <v>46234.791666666657</v>
      </c>
      <c r="H919" s="2">
        <v>46235.291666666657</v>
      </c>
      <c r="I919">
        <v>12</v>
      </c>
      <c r="J919" t="s">
        <v>82</v>
      </c>
      <c r="K919" t="s">
        <v>731</v>
      </c>
    </row>
    <row r="920" spans="1:11" x14ac:dyDescent="0.2">
      <c r="A920" t="s">
        <v>1029</v>
      </c>
      <c r="B920" s="1">
        <v>46234</v>
      </c>
      <c r="C920" t="s">
        <v>165</v>
      </c>
      <c r="D920" t="s">
        <v>730</v>
      </c>
      <c r="E920" t="s">
        <v>50</v>
      </c>
      <c r="F920" t="s">
        <v>23</v>
      </c>
      <c r="G920" s="2">
        <v>46234.291666666657</v>
      </c>
      <c r="H920" s="2">
        <v>46234.791666666657</v>
      </c>
      <c r="I920">
        <v>12</v>
      </c>
      <c r="J920" t="s">
        <v>84</v>
      </c>
      <c r="K920" t="s">
        <v>731</v>
      </c>
    </row>
    <row r="921" spans="1:11" x14ac:dyDescent="0.2">
      <c r="A921" t="s">
        <v>1030</v>
      </c>
      <c r="B921" s="1">
        <v>46234</v>
      </c>
      <c r="C921" t="s">
        <v>165</v>
      </c>
      <c r="D921" t="s">
        <v>730</v>
      </c>
      <c r="E921" t="s">
        <v>50</v>
      </c>
      <c r="F921" t="s">
        <v>30</v>
      </c>
      <c r="G921" s="2">
        <v>46234.791666666657</v>
      </c>
      <c r="H921" s="2">
        <v>46235.291666666657</v>
      </c>
      <c r="I921">
        <v>12</v>
      </c>
      <c r="J921" t="s">
        <v>87</v>
      </c>
      <c r="K921" t="s">
        <v>731</v>
      </c>
    </row>
    <row r="922" spans="1:11" x14ac:dyDescent="0.2">
      <c r="A922" t="s">
        <v>1031</v>
      </c>
      <c r="B922" s="1">
        <v>46235</v>
      </c>
      <c r="C922" t="s">
        <v>186</v>
      </c>
      <c r="D922" t="s">
        <v>730</v>
      </c>
      <c r="E922" t="s">
        <v>32</v>
      </c>
      <c r="F922" t="s">
        <v>23</v>
      </c>
      <c r="G922" s="2">
        <v>46235.291666666657</v>
      </c>
      <c r="H922" s="2">
        <v>46235.791666666657</v>
      </c>
      <c r="I922">
        <v>12</v>
      </c>
      <c r="J922" t="s">
        <v>19</v>
      </c>
      <c r="K922" t="s">
        <v>731</v>
      </c>
    </row>
    <row r="923" spans="1:11" x14ac:dyDescent="0.2">
      <c r="A923" t="s">
        <v>1032</v>
      </c>
      <c r="B923" s="1">
        <v>46235</v>
      </c>
      <c r="C923" t="s">
        <v>186</v>
      </c>
      <c r="D923" t="s">
        <v>730</v>
      </c>
      <c r="E923" t="s">
        <v>32</v>
      </c>
      <c r="F923" t="s">
        <v>30</v>
      </c>
      <c r="G923" s="2">
        <v>46235.791666666657</v>
      </c>
      <c r="H923" s="2">
        <v>46236.291666666657</v>
      </c>
      <c r="I923">
        <v>12</v>
      </c>
      <c r="J923" t="s">
        <v>31</v>
      </c>
      <c r="K923" t="s">
        <v>731</v>
      </c>
    </row>
    <row r="924" spans="1:11" x14ac:dyDescent="0.2">
      <c r="A924" t="s">
        <v>1033</v>
      </c>
      <c r="B924" s="1">
        <v>46235</v>
      </c>
      <c r="C924" t="s">
        <v>186</v>
      </c>
      <c r="D924" t="s">
        <v>730</v>
      </c>
      <c r="E924" t="s">
        <v>48</v>
      </c>
      <c r="F924" t="s">
        <v>23</v>
      </c>
      <c r="G924" s="2">
        <v>46235.291666666657</v>
      </c>
      <c r="H924" s="2">
        <v>46235.791666666657</v>
      </c>
      <c r="I924">
        <v>12</v>
      </c>
      <c r="J924" t="s">
        <v>40</v>
      </c>
      <c r="K924" t="s">
        <v>731</v>
      </c>
    </row>
    <row r="925" spans="1:11" x14ac:dyDescent="0.2">
      <c r="A925" t="s">
        <v>1034</v>
      </c>
      <c r="B925" s="1">
        <v>46235</v>
      </c>
      <c r="C925" t="s">
        <v>186</v>
      </c>
      <c r="D925" t="s">
        <v>730</v>
      </c>
      <c r="E925" t="s">
        <v>48</v>
      </c>
      <c r="F925" t="s">
        <v>30</v>
      </c>
      <c r="G925" s="2">
        <v>46235.791666666657</v>
      </c>
      <c r="H925" s="2">
        <v>46236.291666666657</v>
      </c>
      <c r="I925">
        <v>12</v>
      </c>
      <c r="J925" t="s">
        <v>42</v>
      </c>
      <c r="K925" t="s">
        <v>731</v>
      </c>
    </row>
    <row r="926" spans="1:11" x14ac:dyDescent="0.2">
      <c r="A926" t="s">
        <v>1035</v>
      </c>
      <c r="B926" s="1">
        <v>46235</v>
      </c>
      <c r="C926" t="s">
        <v>186</v>
      </c>
      <c r="D926" t="s">
        <v>730</v>
      </c>
      <c r="E926" t="s">
        <v>36</v>
      </c>
      <c r="F926" t="s">
        <v>23</v>
      </c>
      <c r="G926" s="2">
        <v>46235.291666666657</v>
      </c>
      <c r="H926" s="2">
        <v>46235.791666666657</v>
      </c>
      <c r="I926">
        <v>12</v>
      </c>
      <c r="J926" t="s">
        <v>45</v>
      </c>
      <c r="K926" t="s">
        <v>731</v>
      </c>
    </row>
    <row r="927" spans="1:11" x14ac:dyDescent="0.2">
      <c r="A927" t="s">
        <v>1036</v>
      </c>
      <c r="B927" s="1">
        <v>46235</v>
      </c>
      <c r="C927" t="s">
        <v>186</v>
      </c>
      <c r="D927" t="s">
        <v>730</v>
      </c>
      <c r="E927" t="s">
        <v>36</v>
      </c>
      <c r="F927" t="s">
        <v>30</v>
      </c>
      <c r="G927" s="2">
        <v>46235.791666666657</v>
      </c>
      <c r="H927" s="2">
        <v>46236.291666666657</v>
      </c>
      <c r="I927">
        <v>12</v>
      </c>
      <c r="J927" t="s">
        <v>46</v>
      </c>
      <c r="K927" t="s">
        <v>731</v>
      </c>
    </row>
    <row r="928" spans="1:11" x14ac:dyDescent="0.2">
      <c r="A928" t="s">
        <v>1037</v>
      </c>
      <c r="B928" s="1">
        <v>46235</v>
      </c>
      <c r="C928" t="s">
        <v>186</v>
      </c>
      <c r="D928" t="s">
        <v>730</v>
      </c>
      <c r="E928" t="s">
        <v>14</v>
      </c>
      <c r="F928" t="s">
        <v>23</v>
      </c>
      <c r="G928" s="2">
        <v>46235.291666666657</v>
      </c>
      <c r="H928" s="2">
        <v>46235.791666666657</v>
      </c>
      <c r="I928">
        <v>12</v>
      </c>
      <c r="J928" t="s">
        <v>52</v>
      </c>
      <c r="K928" t="s">
        <v>731</v>
      </c>
    </row>
    <row r="929" spans="1:11" x14ac:dyDescent="0.2">
      <c r="A929" t="s">
        <v>1038</v>
      </c>
      <c r="B929" s="1">
        <v>46235</v>
      </c>
      <c r="C929" t="s">
        <v>186</v>
      </c>
      <c r="D929" t="s">
        <v>730</v>
      </c>
      <c r="E929" t="s">
        <v>14</v>
      </c>
      <c r="F929" t="s">
        <v>30</v>
      </c>
      <c r="G929" s="2">
        <v>46235.791666666657</v>
      </c>
      <c r="H929" s="2">
        <v>46236.291666666657</v>
      </c>
      <c r="I929">
        <v>12</v>
      </c>
      <c r="J929" t="s">
        <v>54</v>
      </c>
      <c r="K929" t="s">
        <v>731</v>
      </c>
    </row>
    <row r="930" spans="1:11" x14ac:dyDescent="0.2">
      <c r="A930" t="s">
        <v>1039</v>
      </c>
      <c r="B930" s="1">
        <v>46235</v>
      </c>
      <c r="C930" t="s">
        <v>186</v>
      </c>
      <c r="D930" t="s">
        <v>730</v>
      </c>
      <c r="E930" t="s">
        <v>38</v>
      </c>
      <c r="F930" t="s">
        <v>23</v>
      </c>
      <c r="G930" s="2">
        <v>46235.291666666657</v>
      </c>
      <c r="H930" s="2">
        <v>46235.791666666657</v>
      </c>
      <c r="I930">
        <v>12</v>
      </c>
      <c r="J930" t="s">
        <v>55</v>
      </c>
      <c r="K930" t="s">
        <v>731</v>
      </c>
    </row>
    <row r="931" spans="1:11" x14ac:dyDescent="0.2">
      <c r="A931" t="s">
        <v>1040</v>
      </c>
      <c r="B931" s="1">
        <v>46235</v>
      </c>
      <c r="C931" t="s">
        <v>186</v>
      </c>
      <c r="D931" t="s">
        <v>730</v>
      </c>
      <c r="E931" t="s">
        <v>38</v>
      </c>
      <c r="F931" t="s">
        <v>30</v>
      </c>
      <c r="G931" s="2">
        <v>46235.791666666657</v>
      </c>
      <c r="H931" s="2">
        <v>46236.291666666657</v>
      </c>
      <c r="I931">
        <v>12</v>
      </c>
      <c r="J931" t="s">
        <v>59</v>
      </c>
      <c r="K931" t="s">
        <v>731</v>
      </c>
    </row>
    <row r="932" spans="1:11" x14ac:dyDescent="0.2">
      <c r="A932" t="s">
        <v>1041</v>
      </c>
      <c r="B932" s="1">
        <v>46235</v>
      </c>
      <c r="C932" t="s">
        <v>186</v>
      </c>
      <c r="D932" t="s">
        <v>730</v>
      </c>
      <c r="E932" t="s">
        <v>29</v>
      </c>
      <c r="F932" t="s">
        <v>23</v>
      </c>
      <c r="G932" s="2">
        <v>46235.291666666657</v>
      </c>
      <c r="H932" s="2">
        <v>46235.791666666657</v>
      </c>
      <c r="I932">
        <v>12</v>
      </c>
      <c r="J932" t="s">
        <v>62</v>
      </c>
      <c r="K932" t="s">
        <v>731</v>
      </c>
    </row>
    <row r="933" spans="1:11" x14ac:dyDescent="0.2">
      <c r="A933" t="s">
        <v>1042</v>
      </c>
      <c r="B933" s="1">
        <v>46235</v>
      </c>
      <c r="C933" t="s">
        <v>186</v>
      </c>
      <c r="D933" t="s">
        <v>730</v>
      </c>
      <c r="E933" t="s">
        <v>29</v>
      </c>
      <c r="F933" t="s">
        <v>30</v>
      </c>
      <c r="G933" s="2">
        <v>46235.791666666657</v>
      </c>
      <c r="H933" s="2">
        <v>46236.291666666657</v>
      </c>
      <c r="I933">
        <v>12</v>
      </c>
      <c r="J933" t="s">
        <v>63</v>
      </c>
      <c r="K933" t="s">
        <v>731</v>
      </c>
    </row>
    <row r="934" spans="1:11" x14ac:dyDescent="0.2">
      <c r="A934" t="s">
        <v>1043</v>
      </c>
      <c r="B934" s="1">
        <v>46235</v>
      </c>
      <c r="C934" t="s">
        <v>186</v>
      </c>
      <c r="D934" t="s">
        <v>730</v>
      </c>
      <c r="E934" t="s">
        <v>20</v>
      </c>
      <c r="F934" t="s">
        <v>23</v>
      </c>
      <c r="G934" s="2">
        <v>46235.291666666657</v>
      </c>
      <c r="H934" s="2">
        <v>46235.791666666657</v>
      </c>
      <c r="I934">
        <v>12</v>
      </c>
      <c r="J934" t="s">
        <v>70</v>
      </c>
      <c r="K934" t="s">
        <v>731</v>
      </c>
    </row>
    <row r="935" spans="1:11" x14ac:dyDescent="0.2">
      <c r="A935" t="s">
        <v>1044</v>
      </c>
      <c r="B935" s="1">
        <v>46235</v>
      </c>
      <c r="C935" t="s">
        <v>186</v>
      </c>
      <c r="D935" t="s">
        <v>730</v>
      </c>
      <c r="E935" t="s">
        <v>20</v>
      </c>
      <c r="F935" t="s">
        <v>30</v>
      </c>
      <c r="G935" s="2">
        <v>46235.791666666657</v>
      </c>
      <c r="H935" s="2">
        <v>46236.291666666657</v>
      </c>
      <c r="I935">
        <v>12</v>
      </c>
      <c r="J935" t="s">
        <v>68</v>
      </c>
      <c r="K935" t="s">
        <v>731</v>
      </c>
    </row>
    <row r="936" spans="1:11" x14ac:dyDescent="0.2">
      <c r="A936" t="s">
        <v>1045</v>
      </c>
      <c r="B936" s="1">
        <v>46235</v>
      </c>
      <c r="C936" t="s">
        <v>186</v>
      </c>
      <c r="D936" t="s">
        <v>730</v>
      </c>
      <c r="E936" t="s">
        <v>72</v>
      </c>
      <c r="F936" t="s">
        <v>23</v>
      </c>
      <c r="G936" s="2">
        <v>46235.291666666657</v>
      </c>
      <c r="H936" s="2">
        <v>46235.791666666657</v>
      </c>
      <c r="I936">
        <v>12</v>
      </c>
      <c r="J936" t="s">
        <v>76</v>
      </c>
      <c r="K936" t="s">
        <v>731</v>
      </c>
    </row>
    <row r="937" spans="1:11" x14ac:dyDescent="0.2">
      <c r="A937" t="s">
        <v>1046</v>
      </c>
      <c r="B937" s="1">
        <v>46235</v>
      </c>
      <c r="C937" t="s">
        <v>186</v>
      </c>
      <c r="D937" t="s">
        <v>730</v>
      </c>
      <c r="E937" t="s">
        <v>72</v>
      </c>
      <c r="F937" t="s">
        <v>30</v>
      </c>
      <c r="G937" s="2">
        <v>46235.791666666657</v>
      </c>
      <c r="H937" s="2">
        <v>46236.291666666657</v>
      </c>
      <c r="I937">
        <v>12</v>
      </c>
      <c r="J937" t="s">
        <v>78</v>
      </c>
      <c r="K937" t="s">
        <v>731</v>
      </c>
    </row>
    <row r="938" spans="1:11" x14ac:dyDescent="0.2">
      <c r="A938" t="s">
        <v>1047</v>
      </c>
      <c r="B938" s="1">
        <v>46235</v>
      </c>
      <c r="C938" t="s">
        <v>186</v>
      </c>
      <c r="D938" t="s">
        <v>730</v>
      </c>
      <c r="E938" t="s">
        <v>56</v>
      </c>
      <c r="F938" t="s">
        <v>23</v>
      </c>
      <c r="G938" s="2">
        <v>46235.291666666657</v>
      </c>
      <c r="H938" s="2">
        <v>46235.791666666657</v>
      </c>
      <c r="I938">
        <v>12</v>
      </c>
      <c r="J938" t="s">
        <v>81</v>
      </c>
      <c r="K938" t="s">
        <v>731</v>
      </c>
    </row>
    <row r="939" spans="1:11" x14ac:dyDescent="0.2">
      <c r="A939" t="s">
        <v>1048</v>
      </c>
      <c r="B939" s="1">
        <v>46235</v>
      </c>
      <c r="C939" t="s">
        <v>186</v>
      </c>
      <c r="D939" t="s">
        <v>730</v>
      </c>
      <c r="E939" t="s">
        <v>56</v>
      </c>
      <c r="F939" t="s">
        <v>30</v>
      </c>
      <c r="G939" s="2">
        <v>46235.791666666657</v>
      </c>
      <c r="H939" s="2">
        <v>46236.291666666657</v>
      </c>
      <c r="I939">
        <v>12</v>
      </c>
      <c r="J939" t="s">
        <v>83</v>
      </c>
      <c r="K939" t="s">
        <v>731</v>
      </c>
    </row>
    <row r="940" spans="1:11" x14ac:dyDescent="0.2">
      <c r="A940" t="s">
        <v>1049</v>
      </c>
      <c r="B940" s="1">
        <v>46235</v>
      </c>
      <c r="C940" t="s">
        <v>186</v>
      </c>
      <c r="D940" t="s">
        <v>730</v>
      </c>
      <c r="E940" t="s">
        <v>50</v>
      </c>
      <c r="F940" t="s">
        <v>23</v>
      </c>
      <c r="G940" s="2">
        <v>46235.291666666657</v>
      </c>
      <c r="H940" s="2">
        <v>46235.791666666657</v>
      </c>
      <c r="I940">
        <v>12</v>
      </c>
      <c r="J940" t="s">
        <v>84</v>
      </c>
      <c r="K940" t="s">
        <v>731</v>
      </c>
    </row>
    <row r="941" spans="1:11" x14ac:dyDescent="0.2">
      <c r="A941" t="s">
        <v>1050</v>
      </c>
      <c r="B941" s="1">
        <v>46235</v>
      </c>
      <c r="C941" t="s">
        <v>186</v>
      </c>
      <c r="D941" t="s">
        <v>730</v>
      </c>
      <c r="E941" t="s">
        <v>50</v>
      </c>
      <c r="F941" t="s">
        <v>30</v>
      </c>
      <c r="G941" s="2">
        <v>46235.791666666657</v>
      </c>
      <c r="H941" s="2">
        <v>46236.291666666657</v>
      </c>
      <c r="I941">
        <v>12</v>
      </c>
      <c r="J941" t="s">
        <v>85</v>
      </c>
      <c r="K941" t="s">
        <v>731</v>
      </c>
    </row>
    <row r="942" spans="1:11" x14ac:dyDescent="0.2">
      <c r="A942" t="s">
        <v>1051</v>
      </c>
      <c r="B942" s="1">
        <v>46236</v>
      </c>
      <c r="C942" t="s">
        <v>207</v>
      </c>
      <c r="D942" t="s">
        <v>730</v>
      </c>
      <c r="E942" t="s">
        <v>32</v>
      </c>
      <c r="F942" t="s">
        <v>23</v>
      </c>
      <c r="G942" s="2">
        <v>46236.291666666657</v>
      </c>
      <c r="H942" s="2">
        <v>46236.791666666657</v>
      </c>
      <c r="I942">
        <v>12</v>
      </c>
      <c r="J942" t="s">
        <v>19</v>
      </c>
      <c r="K942" t="s">
        <v>731</v>
      </c>
    </row>
    <row r="943" spans="1:11" x14ac:dyDescent="0.2">
      <c r="A943" t="s">
        <v>1052</v>
      </c>
      <c r="B943" s="1">
        <v>46236</v>
      </c>
      <c r="C943" t="s">
        <v>207</v>
      </c>
      <c r="D943" t="s">
        <v>730</v>
      </c>
      <c r="E943" t="s">
        <v>32</v>
      </c>
      <c r="F943" t="s">
        <v>30</v>
      </c>
      <c r="G943" s="2">
        <v>46236.791666666657</v>
      </c>
      <c r="H943" s="2">
        <v>46237.291666666657</v>
      </c>
      <c r="I943">
        <v>12</v>
      </c>
      <c r="J943" t="s">
        <v>31</v>
      </c>
      <c r="K943" t="s">
        <v>731</v>
      </c>
    </row>
    <row r="944" spans="1:11" x14ac:dyDescent="0.2">
      <c r="A944" t="s">
        <v>1053</v>
      </c>
      <c r="B944" s="1">
        <v>46236</v>
      </c>
      <c r="C944" t="s">
        <v>207</v>
      </c>
      <c r="D944" t="s">
        <v>730</v>
      </c>
      <c r="E944" t="s">
        <v>48</v>
      </c>
      <c r="F944" t="s">
        <v>23</v>
      </c>
      <c r="G944" s="2">
        <v>46236.291666666657</v>
      </c>
      <c r="H944" s="2">
        <v>46236.791666666657</v>
      </c>
      <c r="I944">
        <v>12</v>
      </c>
      <c r="J944" t="s">
        <v>35</v>
      </c>
      <c r="K944" t="s">
        <v>731</v>
      </c>
    </row>
    <row r="945" spans="1:11" x14ac:dyDescent="0.2">
      <c r="A945" t="s">
        <v>1054</v>
      </c>
      <c r="B945" s="1">
        <v>46236</v>
      </c>
      <c r="C945" t="s">
        <v>207</v>
      </c>
      <c r="D945" t="s">
        <v>730</v>
      </c>
      <c r="E945" t="s">
        <v>48</v>
      </c>
      <c r="F945" t="s">
        <v>30</v>
      </c>
      <c r="G945" s="2">
        <v>46236.791666666657</v>
      </c>
      <c r="H945" s="2">
        <v>46237.291666666657</v>
      </c>
      <c r="I945">
        <v>12</v>
      </c>
      <c r="J945" t="s">
        <v>37</v>
      </c>
      <c r="K945" t="s">
        <v>731</v>
      </c>
    </row>
    <row r="946" spans="1:11" x14ac:dyDescent="0.2">
      <c r="A946" t="s">
        <v>1055</v>
      </c>
      <c r="B946" s="1">
        <v>46236</v>
      </c>
      <c r="C946" t="s">
        <v>207</v>
      </c>
      <c r="D946" t="s">
        <v>730</v>
      </c>
      <c r="E946" t="s">
        <v>36</v>
      </c>
      <c r="F946" t="s">
        <v>23</v>
      </c>
      <c r="G946" s="2">
        <v>46236.291666666657</v>
      </c>
      <c r="H946" s="2">
        <v>46236.791666666657</v>
      </c>
      <c r="I946">
        <v>12</v>
      </c>
      <c r="J946" t="s">
        <v>44</v>
      </c>
      <c r="K946" t="s">
        <v>731</v>
      </c>
    </row>
    <row r="947" spans="1:11" x14ac:dyDescent="0.2">
      <c r="A947" t="s">
        <v>1056</v>
      </c>
      <c r="B947" s="1">
        <v>46236</v>
      </c>
      <c r="C947" t="s">
        <v>207</v>
      </c>
      <c r="D947" t="s">
        <v>730</v>
      </c>
      <c r="E947" t="s">
        <v>36</v>
      </c>
      <c r="F947" t="s">
        <v>30</v>
      </c>
      <c r="G947" s="2">
        <v>46236.791666666657</v>
      </c>
      <c r="H947" s="2">
        <v>46237.291666666657</v>
      </c>
      <c r="I947">
        <v>12</v>
      </c>
      <c r="J947" t="s">
        <v>43</v>
      </c>
      <c r="K947" t="s">
        <v>731</v>
      </c>
    </row>
    <row r="948" spans="1:11" x14ac:dyDescent="0.2">
      <c r="A948" t="s">
        <v>1057</v>
      </c>
      <c r="B948" s="1">
        <v>46236</v>
      </c>
      <c r="C948" t="s">
        <v>207</v>
      </c>
      <c r="D948" t="s">
        <v>730</v>
      </c>
      <c r="E948" t="s">
        <v>14</v>
      </c>
      <c r="F948" t="s">
        <v>23</v>
      </c>
      <c r="G948" s="2">
        <v>46236.291666666657</v>
      </c>
      <c r="H948" s="2">
        <v>46236.791666666657</v>
      </c>
      <c r="I948">
        <v>12</v>
      </c>
      <c r="J948" t="s">
        <v>49</v>
      </c>
      <c r="K948" t="s">
        <v>731</v>
      </c>
    </row>
    <row r="949" spans="1:11" x14ac:dyDescent="0.2">
      <c r="A949" t="s">
        <v>1058</v>
      </c>
      <c r="B949" s="1">
        <v>46236</v>
      </c>
      <c r="C949" t="s">
        <v>207</v>
      </c>
      <c r="D949" t="s">
        <v>730</v>
      </c>
      <c r="E949" t="s">
        <v>14</v>
      </c>
      <c r="F949" t="s">
        <v>30</v>
      </c>
      <c r="G949" s="2">
        <v>46236.791666666657</v>
      </c>
      <c r="H949" s="2">
        <v>46237.291666666657</v>
      </c>
      <c r="I949">
        <v>12</v>
      </c>
      <c r="J949" t="s">
        <v>51</v>
      </c>
      <c r="K949" t="s">
        <v>731</v>
      </c>
    </row>
    <row r="950" spans="1:11" x14ac:dyDescent="0.2">
      <c r="A950" t="s">
        <v>1059</v>
      </c>
      <c r="B950" s="1">
        <v>46236</v>
      </c>
      <c r="C950" t="s">
        <v>207</v>
      </c>
      <c r="D950" t="s">
        <v>730</v>
      </c>
      <c r="E950" t="s">
        <v>38</v>
      </c>
      <c r="F950" t="s">
        <v>23</v>
      </c>
      <c r="G950" s="2">
        <v>46236.291666666657</v>
      </c>
      <c r="H950" s="2">
        <v>46236.791666666657</v>
      </c>
      <c r="I950">
        <v>12</v>
      </c>
      <c r="J950" t="s">
        <v>61</v>
      </c>
      <c r="K950" t="s">
        <v>731</v>
      </c>
    </row>
    <row r="951" spans="1:11" x14ac:dyDescent="0.2">
      <c r="A951" t="s">
        <v>1060</v>
      </c>
      <c r="B951" s="1">
        <v>46236</v>
      </c>
      <c r="C951" t="s">
        <v>207</v>
      </c>
      <c r="D951" t="s">
        <v>730</v>
      </c>
      <c r="E951" t="s">
        <v>38</v>
      </c>
      <c r="F951" t="s">
        <v>30</v>
      </c>
      <c r="G951" s="2">
        <v>46236.791666666657</v>
      </c>
      <c r="H951" s="2">
        <v>46237.291666666657</v>
      </c>
      <c r="I951">
        <v>12</v>
      </c>
      <c r="J951" t="s">
        <v>58</v>
      </c>
      <c r="K951" t="s">
        <v>731</v>
      </c>
    </row>
    <row r="952" spans="1:11" x14ac:dyDescent="0.2">
      <c r="A952" t="s">
        <v>1061</v>
      </c>
      <c r="B952" s="1">
        <v>46236</v>
      </c>
      <c r="C952" t="s">
        <v>207</v>
      </c>
      <c r="D952" t="s">
        <v>730</v>
      </c>
      <c r="E952" t="s">
        <v>29</v>
      </c>
      <c r="F952" t="s">
        <v>23</v>
      </c>
      <c r="G952" s="2">
        <v>46236.291666666657</v>
      </c>
      <c r="H952" s="2">
        <v>46236.791666666657</v>
      </c>
      <c r="I952">
        <v>12</v>
      </c>
      <c r="J952" t="s">
        <v>64</v>
      </c>
      <c r="K952" t="s">
        <v>731</v>
      </c>
    </row>
    <row r="953" spans="1:11" x14ac:dyDescent="0.2">
      <c r="A953" t="s">
        <v>1062</v>
      </c>
      <c r="B953" s="1">
        <v>46236</v>
      </c>
      <c r="C953" t="s">
        <v>207</v>
      </c>
      <c r="D953" t="s">
        <v>730</v>
      </c>
      <c r="E953" t="s">
        <v>29</v>
      </c>
      <c r="F953" t="s">
        <v>30</v>
      </c>
      <c r="G953" s="2">
        <v>46236.791666666657</v>
      </c>
      <c r="H953" s="2">
        <v>46237.291666666657</v>
      </c>
      <c r="I953">
        <v>12</v>
      </c>
      <c r="J953" t="s">
        <v>66</v>
      </c>
      <c r="K953" t="s">
        <v>731</v>
      </c>
    </row>
    <row r="954" spans="1:11" x14ac:dyDescent="0.2">
      <c r="A954" t="s">
        <v>1063</v>
      </c>
      <c r="B954" s="1">
        <v>46236</v>
      </c>
      <c r="C954" t="s">
        <v>207</v>
      </c>
      <c r="D954" t="s">
        <v>730</v>
      </c>
      <c r="E954" t="s">
        <v>20</v>
      </c>
      <c r="F954" t="s">
        <v>23</v>
      </c>
      <c r="G954" s="2">
        <v>46236.291666666657</v>
      </c>
      <c r="H954" s="2">
        <v>46236.791666666657</v>
      </c>
      <c r="I954">
        <v>12</v>
      </c>
      <c r="J954" t="s">
        <v>71</v>
      </c>
      <c r="K954" t="s">
        <v>731</v>
      </c>
    </row>
    <row r="955" spans="1:11" x14ac:dyDescent="0.2">
      <c r="A955" t="s">
        <v>1064</v>
      </c>
      <c r="B955" s="1">
        <v>46236</v>
      </c>
      <c r="C955" t="s">
        <v>207</v>
      </c>
      <c r="D955" t="s">
        <v>730</v>
      </c>
      <c r="E955" t="s">
        <v>20</v>
      </c>
      <c r="F955" t="s">
        <v>30</v>
      </c>
      <c r="G955" s="2">
        <v>46236.791666666657</v>
      </c>
      <c r="H955" s="2">
        <v>46237.291666666657</v>
      </c>
      <c r="I955">
        <v>12</v>
      </c>
      <c r="J955" t="s">
        <v>70</v>
      </c>
      <c r="K955" t="s">
        <v>731</v>
      </c>
    </row>
    <row r="956" spans="1:11" x14ac:dyDescent="0.2">
      <c r="A956" t="s">
        <v>1065</v>
      </c>
      <c r="B956" s="1">
        <v>46236</v>
      </c>
      <c r="C956" t="s">
        <v>207</v>
      </c>
      <c r="D956" t="s">
        <v>730</v>
      </c>
      <c r="E956" t="s">
        <v>72</v>
      </c>
      <c r="F956" t="s">
        <v>23</v>
      </c>
      <c r="G956" s="2">
        <v>46236.291666666657</v>
      </c>
      <c r="H956" s="2">
        <v>46236.791666666657</v>
      </c>
      <c r="I956">
        <v>12</v>
      </c>
      <c r="J956" t="s">
        <v>74</v>
      </c>
      <c r="K956" t="s">
        <v>731</v>
      </c>
    </row>
    <row r="957" spans="1:11" x14ac:dyDescent="0.2">
      <c r="A957" t="s">
        <v>1066</v>
      </c>
      <c r="B957" s="1">
        <v>46236</v>
      </c>
      <c r="C957" t="s">
        <v>207</v>
      </c>
      <c r="D957" t="s">
        <v>730</v>
      </c>
      <c r="E957" t="s">
        <v>72</v>
      </c>
      <c r="F957" t="s">
        <v>30</v>
      </c>
      <c r="G957" s="2">
        <v>46236.791666666657</v>
      </c>
      <c r="H957" s="2">
        <v>46237.291666666657</v>
      </c>
      <c r="I957">
        <v>12</v>
      </c>
      <c r="J957" t="s">
        <v>78</v>
      </c>
      <c r="K957" t="s">
        <v>731</v>
      </c>
    </row>
    <row r="958" spans="1:11" x14ac:dyDescent="0.2">
      <c r="A958" t="s">
        <v>1067</v>
      </c>
      <c r="B958" s="1">
        <v>46236</v>
      </c>
      <c r="C958" t="s">
        <v>207</v>
      </c>
      <c r="D958" t="s">
        <v>730</v>
      </c>
      <c r="E958" t="s">
        <v>56</v>
      </c>
      <c r="F958" t="s">
        <v>23</v>
      </c>
      <c r="G958" s="2">
        <v>46236.291666666657</v>
      </c>
      <c r="H958" s="2">
        <v>46236.791666666657</v>
      </c>
      <c r="I958">
        <v>12</v>
      </c>
      <c r="J958" t="s">
        <v>79</v>
      </c>
      <c r="K958" t="s">
        <v>731</v>
      </c>
    </row>
    <row r="959" spans="1:11" x14ac:dyDescent="0.2">
      <c r="A959" t="s">
        <v>1068</v>
      </c>
      <c r="B959" s="1">
        <v>46236</v>
      </c>
      <c r="C959" t="s">
        <v>207</v>
      </c>
      <c r="D959" t="s">
        <v>730</v>
      </c>
      <c r="E959" t="s">
        <v>56</v>
      </c>
      <c r="F959" t="s">
        <v>30</v>
      </c>
      <c r="G959" s="2">
        <v>46236.791666666657</v>
      </c>
      <c r="H959" s="2">
        <v>46237.291666666657</v>
      </c>
      <c r="I959">
        <v>12</v>
      </c>
      <c r="J959" t="s">
        <v>80</v>
      </c>
      <c r="K959" t="s">
        <v>731</v>
      </c>
    </row>
    <row r="960" spans="1:11" x14ac:dyDescent="0.2">
      <c r="A960" t="s">
        <v>1069</v>
      </c>
      <c r="B960" s="1">
        <v>46236</v>
      </c>
      <c r="C960" t="s">
        <v>207</v>
      </c>
      <c r="D960" t="s">
        <v>730</v>
      </c>
      <c r="E960" t="s">
        <v>50</v>
      </c>
      <c r="F960" t="s">
        <v>23</v>
      </c>
      <c r="G960" s="2">
        <v>46236.291666666657</v>
      </c>
      <c r="H960" s="2">
        <v>46236.791666666657</v>
      </c>
      <c r="I960">
        <v>12</v>
      </c>
      <c r="J960" t="s">
        <v>84</v>
      </c>
      <c r="K960" t="s">
        <v>731</v>
      </c>
    </row>
    <row r="961" spans="1:11" x14ac:dyDescent="0.2">
      <c r="A961" t="s">
        <v>1070</v>
      </c>
      <c r="B961" s="1">
        <v>46236</v>
      </c>
      <c r="C961" t="s">
        <v>207</v>
      </c>
      <c r="D961" t="s">
        <v>730</v>
      </c>
      <c r="E961" t="s">
        <v>50</v>
      </c>
      <c r="F961" t="s">
        <v>30</v>
      </c>
      <c r="G961" s="2">
        <v>46236.791666666657</v>
      </c>
      <c r="H961" s="2">
        <v>46237.291666666657</v>
      </c>
      <c r="I961">
        <v>12</v>
      </c>
      <c r="J961" t="s">
        <v>85</v>
      </c>
      <c r="K961" t="s">
        <v>731</v>
      </c>
    </row>
    <row r="962" spans="1:11" x14ac:dyDescent="0.2">
      <c r="A962" t="s">
        <v>1071</v>
      </c>
      <c r="B962" s="1">
        <v>46237</v>
      </c>
      <c r="C962" t="s">
        <v>228</v>
      </c>
      <c r="D962" t="s">
        <v>730</v>
      </c>
      <c r="E962" t="s">
        <v>32</v>
      </c>
      <c r="F962" t="s">
        <v>23</v>
      </c>
      <c r="G962" s="2">
        <v>46237.291666666657</v>
      </c>
      <c r="H962" s="2">
        <v>46237.791666666657</v>
      </c>
      <c r="I962">
        <v>12</v>
      </c>
      <c r="J962" t="s">
        <v>31</v>
      </c>
      <c r="K962" t="s">
        <v>731</v>
      </c>
    </row>
    <row r="963" spans="1:11" x14ac:dyDescent="0.2">
      <c r="A963" t="s">
        <v>1072</v>
      </c>
      <c r="B963" s="1">
        <v>46237</v>
      </c>
      <c r="C963" t="s">
        <v>228</v>
      </c>
      <c r="D963" t="s">
        <v>730</v>
      </c>
      <c r="E963" t="s">
        <v>32</v>
      </c>
      <c r="F963" t="s">
        <v>30</v>
      </c>
      <c r="G963" s="2">
        <v>46237.791666666657</v>
      </c>
      <c r="H963" s="2">
        <v>46238.291666666657</v>
      </c>
      <c r="I963">
        <v>12</v>
      </c>
      <c r="J963" t="s">
        <v>19</v>
      </c>
      <c r="K963" t="s">
        <v>731</v>
      </c>
    </row>
    <row r="964" spans="1:11" x14ac:dyDescent="0.2">
      <c r="A964" t="s">
        <v>1073</v>
      </c>
      <c r="B964" s="1">
        <v>46237</v>
      </c>
      <c r="C964" t="s">
        <v>228</v>
      </c>
      <c r="D964" t="s">
        <v>730</v>
      </c>
      <c r="E964" t="s">
        <v>48</v>
      </c>
      <c r="F964" t="s">
        <v>23</v>
      </c>
      <c r="G964" s="2">
        <v>46237.291666666657</v>
      </c>
      <c r="H964" s="2">
        <v>46237.791666666657</v>
      </c>
      <c r="I964">
        <v>12</v>
      </c>
      <c r="J964" t="s">
        <v>40</v>
      </c>
      <c r="K964" t="s">
        <v>731</v>
      </c>
    </row>
    <row r="965" spans="1:11" x14ac:dyDescent="0.2">
      <c r="A965" t="s">
        <v>1074</v>
      </c>
      <c r="B965" s="1">
        <v>46237</v>
      </c>
      <c r="C965" t="s">
        <v>228</v>
      </c>
      <c r="D965" t="s">
        <v>730</v>
      </c>
      <c r="E965" t="s">
        <v>48</v>
      </c>
      <c r="F965" t="s">
        <v>30</v>
      </c>
      <c r="G965" s="2">
        <v>46237.791666666657</v>
      </c>
      <c r="H965" s="2">
        <v>46238.291666666657</v>
      </c>
      <c r="I965">
        <v>12</v>
      </c>
      <c r="J965" t="s">
        <v>35</v>
      </c>
      <c r="K965" t="s">
        <v>731</v>
      </c>
    </row>
    <row r="966" spans="1:11" x14ac:dyDescent="0.2">
      <c r="A966" t="s">
        <v>1075</v>
      </c>
      <c r="B966" s="1">
        <v>46237</v>
      </c>
      <c r="C966" t="s">
        <v>228</v>
      </c>
      <c r="D966" t="s">
        <v>730</v>
      </c>
      <c r="E966" t="s">
        <v>36</v>
      </c>
      <c r="F966" t="s">
        <v>23</v>
      </c>
      <c r="G966" s="2">
        <v>46237.291666666657</v>
      </c>
      <c r="H966" s="2">
        <v>46237.791666666657</v>
      </c>
      <c r="I966">
        <v>12</v>
      </c>
      <c r="J966" t="s">
        <v>43</v>
      </c>
      <c r="K966" t="s">
        <v>731</v>
      </c>
    </row>
    <row r="967" spans="1:11" x14ac:dyDescent="0.2">
      <c r="A967" t="s">
        <v>1076</v>
      </c>
      <c r="B967" s="1">
        <v>46237</v>
      </c>
      <c r="C967" t="s">
        <v>228</v>
      </c>
      <c r="D967" t="s">
        <v>730</v>
      </c>
      <c r="E967" t="s">
        <v>36</v>
      </c>
      <c r="F967" t="s">
        <v>30</v>
      </c>
      <c r="G967" s="2">
        <v>46237.791666666657</v>
      </c>
      <c r="H967" s="2">
        <v>46238.291666666657</v>
      </c>
      <c r="I967">
        <v>12</v>
      </c>
      <c r="J967" t="s">
        <v>44</v>
      </c>
      <c r="K967" t="s">
        <v>731</v>
      </c>
    </row>
    <row r="968" spans="1:11" x14ac:dyDescent="0.2">
      <c r="A968" t="s">
        <v>1077</v>
      </c>
      <c r="B968" s="1">
        <v>46237</v>
      </c>
      <c r="C968" t="s">
        <v>228</v>
      </c>
      <c r="D968" t="s">
        <v>730</v>
      </c>
      <c r="E968" t="s">
        <v>14</v>
      </c>
      <c r="F968" t="s">
        <v>23</v>
      </c>
      <c r="G968" s="2">
        <v>46237.291666666657</v>
      </c>
      <c r="H968" s="2">
        <v>46237.791666666657</v>
      </c>
      <c r="I968">
        <v>12</v>
      </c>
      <c r="J968" t="s">
        <v>51</v>
      </c>
      <c r="K968" t="s">
        <v>731</v>
      </c>
    </row>
    <row r="969" spans="1:11" x14ac:dyDescent="0.2">
      <c r="A969" t="s">
        <v>1078</v>
      </c>
      <c r="B969" s="1">
        <v>46237</v>
      </c>
      <c r="C969" t="s">
        <v>228</v>
      </c>
      <c r="D969" t="s">
        <v>730</v>
      </c>
      <c r="E969" t="s">
        <v>14</v>
      </c>
      <c r="F969" t="s">
        <v>30</v>
      </c>
      <c r="G969" s="2">
        <v>46237.791666666657</v>
      </c>
      <c r="H969" s="2">
        <v>46238.291666666657</v>
      </c>
      <c r="I969">
        <v>12</v>
      </c>
      <c r="J969" t="s">
        <v>52</v>
      </c>
      <c r="K969" t="s">
        <v>731</v>
      </c>
    </row>
    <row r="970" spans="1:11" x14ac:dyDescent="0.2">
      <c r="A970" t="s">
        <v>1079</v>
      </c>
      <c r="B970" s="1">
        <v>46237</v>
      </c>
      <c r="C970" t="s">
        <v>228</v>
      </c>
      <c r="D970" t="s">
        <v>730</v>
      </c>
      <c r="E970" t="s">
        <v>38</v>
      </c>
      <c r="F970" t="s">
        <v>23</v>
      </c>
      <c r="G970" s="2">
        <v>46237.291666666657</v>
      </c>
      <c r="H970" s="2">
        <v>46237.791666666657</v>
      </c>
      <c r="I970">
        <v>12</v>
      </c>
      <c r="J970" t="s">
        <v>61</v>
      </c>
      <c r="K970" t="s">
        <v>731</v>
      </c>
    </row>
    <row r="971" spans="1:11" x14ac:dyDescent="0.2">
      <c r="A971" t="s">
        <v>1080</v>
      </c>
      <c r="B971" s="1">
        <v>46237</v>
      </c>
      <c r="C971" t="s">
        <v>228</v>
      </c>
      <c r="D971" t="s">
        <v>730</v>
      </c>
      <c r="E971" t="s">
        <v>38</v>
      </c>
      <c r="F971" t="s">
        <v>30</v>
      </c>
      <c r="G971" s="2">
        <v>46237.791666666657</v>
      </c>
      <c r="H971" s="2">
        <v>46238.291666666657</v>
      </c>
      <c r="I971">
        <v>12</v>
      </c>
      <c r="J971" t="s">
        <v>55</v>
      </c>
      <c r="K971" t="s">
        <v>731</v>
      </c>
    </row>
    <row r="972" spans="1:11" x14ac:dyDescent="0.2">
      <c r="A972" t="s">
        <v>1081</v>
      </c>
      <c r="B972" s="1">
        <v>46237</v>
      </c>
      <c r="C972" t="s">
        <v>228</v>
      </c>
      <c r="D972" t="s">
        <v>730</v>
      </c>
      <c r="E972" t="s">
        <v>29</v>
      </c>
      <c r="F972" t="s">
        <v>23</v>
      </c>
      <c r="G972" s="2">
        <v>46237.291666666657</v>
      </c>
      <c r="H972" s="2">
        <v>46237.791666666657</v>
      </c>
      <c r="I972">
        <v>12</v>
      </c>
      <c r="J972" t="s">
        <v>66</v>
      </c>
      <c r="K972" t="s">
        <v>731</v>
      </c>
    </row>
    <row r="973" spans="1:11" x14ac:dyDescent="0.2">
      <c r="A973" t="s">
        <v>1082</v>
      </c>
      <c r="B973" s="1">
        <v>46237</v>
      </c>
      <c r="C973" t="s">
        <v>228</v>
      </c>
      <c r="D973" t="s">
        <v>730</v>
      </c>
      <c r="E973" t="s">
        <v>29</v>
      </c>
      <c r="F973" t="s">
        <v>30</v>
      </c>
      <c r="G973" s="2">
        <v>46237.791666666657</v>
      </c>
      <c r="H973" s="2">
        <v>46238.291666666657</v>
      </c>
      <c r="I973">
        <v>12</v>
      </c>
      <c r="J973" t="s">
        <v>64</v>
      </c>
      <c r="K973" t="s">
        <v>731</v>
      </c>
    </row>
    <row r="974" spans="1:11" x14ac:dyDescent="0.2">
      <c r="A974" t="s">
        <v>1083</v>
      </c>
      <c r="B974" s="1">
        <v>46237</v>
      </c>
      <c r="C974" t="s">
        <v>228</v>
      </c>
      <c r="D974" t="s">
        <v>730</v>
      </c>
      <c r="E974" t="s">
        <v>20</v>
      </c>
      <c r="F974" t="s">
        <v>23</v>
      </c>
      <c r="G974" s="2">
        <v>46237.291666666657</v>
      </c>
      <c r="H974" s="2">
        <v>46237.791666666657</v>
      </c>
      <c r="I974">
        <v>12</v>
      </c>
      <c r="J974" t="s">
        <v>71</v>
      </c>
      <c r="K974" t="s">
        <v>731</v>
      </c>
    </row>
    <row r="975" spans="1:11" x14ac:dyDescent="0.2">
      <c r="A975" t="s">
        <v>1084</v>
      </c>
      <c r="B975" s="1">
        <v>46237</v>
      </c>
      <c r="C975" t="s">
        <v>228</v>
      </c>
      <c r="D975" t="s">
        <v>730</v>
      </c>
      <c r="E975" t="s">
        <v>20</v>
      </c>
      <c r="F975" t="s">
        <v>30</v>
      </c>
      <c r="G975" s="2">
        <v>46237.791666666657</v>
      </c>
      <c r="H975" s="2">
        <v>46238.291666666657</v>
      </c>
      <c r="I975">
        <v>12</v>
      </c>
      <c r="J975" t="s">
        <v>67</v>
      </c>
      <c r="K975" t="s">
        <v>731</v>
      </c>
    </row>
    <row r="976" spans="1:11" x14ac:dyDescent="0.2">
      <c r="A976" t="s">
        <v>1085</v>
      </c>
      <c r="B976" s="1">
        <v>46237</v>
      </c>
      <c r="C976" t="s">
        <v>228</v>
      </c>
      <c r="D976" t="s">
        <v>730</v>
      </c>
      <c r="E976" t="s">
        <v>72</v>
      </c>
      <c r="F976" t="s">
        <v>23</v>
      </c>
      <c r="G976" s="2">
        <v>46237.291666666657</v>
      </c>
      <c r="H976" s="2">
        <v>46237.791666666657</v>
      </c>
      <c r="I976">
        <v>12</v>
      </c>
      <c r="J976" t="s">
        <v>76</v>
      </c>
      <c r="K976" t="s">
        <v>731</v>
      </c>
    </row>
    <row r="977" spans="1:11" x14ac:dyDescent="0.2">
      <c r="A977" t="s">
        <v>1086</v>
      </c>
      <c r="B977" s="1">
        <v>46237</v>
      </c>
      <c r="C977" t="s">
        <v>228</v>
      </c>
      <c r="D977" t="s">
        <v>730</v>
      </c>
      <c r="E977" t="s">
        <v>72</v>
      </c>
      <c r="F977" t="s">
        <v>30</v>
      </c>
      <c r="G977" s="2">
        <v>46237.791666666657</v>
      </c>
      <c r="H977" s="2">
        <v>46238.291666666657</v>
      </c>
      <c r="I977">
        <v>12</v>
      </c>
      <c r="J977" t="s">
        <v>74</v>
      </c>
      <c r="K977" t="s">
        <v>731</v>
      </c>
    </row>
    <row r="978" spans="1:11" x14ac:dyDescent="0.2">
      <c r="A978" t="s">
        <v>1087</v>
      </c>
      <c r="B978" s="1">
        <v>46237</v>
      </c>
      <c r="C978" t="s">
        <v>228</v>
      </c>
      <c r="D978" t="s">
        <v>730</v>
      </c>
      <c r="E978" t="s">
        <v>56</v>
      </c>
      <c r="F978" t="s">
        <v>23</v>
      </c>
      <c r="G978" s="2">
        <v>46237.291666666657</v>
      </c>
      <c r="H978" s="2">
        <v>46237.791666666657</v>
      </c>
      <c r="I978">
        <v>12</v>
      </c>
      <c r="J978" t="s">
        <v>81</v>
      </c>
      <c r="K978" t="s">
        <v>731</v>
      </c>
    </row>
    <row r="979" spans="1:11" x14ac:dyDescent="0.2">
      <c r="A979" t="s">
        <v>1088</v>
      </c>
      <c r="B979" s="1">
        <v>46237</v>
      </c>
      <c r="C979" t="s">
        <v>228</v>
      </c>
      <c r="D979" t="s">
        <v>730</v>
      </c>
      <c r="E979" t="s">
        <v>56</v>
      </c>
      <c r="F979" t="s">
        <v>30</v>
      </c>
      <c r="G979" s="2">
        <v>46237.791666666657</v>
      </c>
      <c r="H979" s="2">
        <v>46238.291666666657</v>
      </c>
      <c r="I979">
        <v>12</v>
      </c>
      <c r="J979" t="s">
        <v>83</v>
      </c>
      <c r="K979" t="s">
        <v>731</v>
      </c>
    </row>
    <row r="980" spans="1:11" x14ac:dyDescent="0.2">
      <c r="A980" t="s">
        <v>1089</v>
      </c>
      <c r="B980" s="1">
        <v>46237</v>
      </c>
      <c r="C980" t="s">
        <v>228</v>
      </c>
      <c r="D980" t="s">
        <v>730</v>
      </c>
      <c r="E980" t="s">
        <v>50</v>
      </c>
      <c r="F980" t="s">
        <v>23</v>
      </c>
      <c r="G980" s="2">
        <v>46237.291666666657</v>
      </c>
      <c r="H980" s="2">
        <v>46237.791666666657</v>
      </c>
      <c r="I980">
        <v>12</v>
      </c>
      <c r="J980" t="s">
        <v>84</v>
      </c>
      <c r="K980" t="s">
        <v>731</v>
      </c>
    </row>
    <row r="981" spans="1:11" x14ac:dyDescent="0.2">
      <c r="A981" t="s">
        <v>1090</v>
      </c>
      <c r="B981" s="1">
        <v>46237</v>
      </c>
      <c r="C981" t="s">
        <v>228</v>
      </c>
      <c r="D981" t="s">
        <v>730</v>
      </c>
      <c r="E981" t="s">
        <v>50</v>
      </c>
      <c r="F981" t="s">
        <v>30</v>
      </c>
      <c r="G981" s="2">
        <v>46237.791666666657</v>
      </c>
      <c r="H981" s="2">
        <v>46238.291666666657</v>
      </c>
      <c r="I981">
        <v>12</v>
      </c>
      <c r="J981" t="s">
        <v>85</v>
      </c>
      <c r="K981" t="s">
        <v>731</v>
      </c>
    </row>
    <row r="982" spans="1:11" x14ac:dyDescent="0.2">
      <c r="A982" t="s">
        <v>1091</v>
      </c>
      <c r="B982" s="1">
        <v>46238</v>
      </c>
      <c r="C982" t="s">
        <v>100</v>
      </c>
      <c r="D982" t="s">
        <v>730</v>
      </c>
      <c r="E982" t="s">
        <v>32</v>
      </c>
      <c r="F982" t="s">
        <v>23</v>
      </c>
      <c r="G982" s="2">
        <v>46238.291666666657</v>
      </c>
      <c r="H982" s="2">
        <v>46238.791666666657</v>
      </c>
      <c r="I982">
        <v>12</v>
      </c>
      <c r="J982" t="s">
        <v>13</v>
      </c>
      <c r="K982" t="s">
        <v>731</v>
      </c>
    </row>
    <row r="983" spans="1:11" x14ac:dyDescent="0.2">
      <c r="A983" t="s">
        <v>1092</v>
      </c>
      <c r="B983" s="1">
        <v>46238</v>
      </c>
      <c r="C983" t="s">
        <v>100</v>
      </c>
      <c r="D983" t="s">
        <v>730</v>
      </c>
      <c r="E983" t="s">
        <v>32</v>
      </c>
      <c r="F983" t="s">
        <v>30</v>
      </c>
      <c r="G983" s="2">
        <v>46238.791666666657</v>
      </c>
      <c r="H983" s="2">
        <v>46239.291666666657</v>
      </c>
      <c r="I983">
        <v>12</v>
      </c>
      <c r="J983" t="s">
        <v>19</v>
      </c>
      <c r="K983" t="s">
        <v>731</v>
      </c>
    </row>
    <row r="984" spans="1:11" x14ac:dyDescent="0.2">
      <c r="A984" t="s">
        <v>1093</v>
      </c>
      <c r="B984" s="1">
        <v>46238</v>
      </c>
      <c r="C984" t="s">
        <v>100</v>
      </c>
      <c r="D984" t="s">
        <v>730</v>
      </c>
      <c r="E984" t="s">
        <v>48</v>
      </c>
      <c r="F984" t="s">
        <v>23</v>
      </c>
      <c r="G984" s="2">
        <v>46238.291666666657</v>
      </c>
      <c r="H984" s="2">
        <v>46238.791666666657</v>
      </c>
      <c r="I984">
        <v>12</v>
      </c>
      <c r="J984" t="s">
        <v>35</v>
      </c>
      <c r="K984" t="s">
        <v>731</v>
      </c>
    </row>
    <row r="985" spans="1:11" x14ac:dyDescent="0.2">
      <c r="A985" t="s">
        <v>1094</v>
      </c>
      <c r="B985" s="1">
        <v>46238</v>
      </c>
      <c r="C985" t="s">
        <v>100</v>
      </c>
      <c r="D985" t="s">
        <v>730</v>
      </c>
      <c r="E985" t="s">
        <v>48</v>
      </c>
      <c r="F985" t="s">
        <v>30</v>
      </c>
      <c r="G985" s="2">
        <v>46238.791666666657</v>
      </c>
      <c r="H985" s="2">
        <v>46239.291666666657</v>
      </c>
      <c r="I985">
        <v>12</v>
      </c>
      <c r="J985" t="s">
        <v>40</v>
      </c>
      <c r="K985" t="s">
        <v>731</v>
      </c>
    </row>
    <row r="986" spans="1:11" x14ac:dyDescent="0.2">
      <c r="A986" t="s">
        <v>1095</v>
      </c>
      <c r="B986" s="1">
        <v>46238</v>
      </c>
      <c r="C986" t="s">
        <v>100</v>
      </c>
      <c r="D986" t="s">
        <v>730</v>
      </c>
      <c r="E986" t="s">
        <v>36</v>
      </c>
      <c r="F986" t="s">
        <v>23</v>
      </c>
      <c r="G986" s="2">
        <v>46238.291666666657</v>
      </c>
      <c r="H986" s="2">
        <v>46238.791666666657</v>
      </c>
      <c r="I986">
        <v>12</v>
      </c>
      <c r="J986" t="s">
        <v>46</v>
      </c>
      <c r="K986" t="s">
        <v>731</v>
      </c>
    </row>
    <row r="987" spans="1:11" x14ac:dyDescent="0.2">
      <c r="A987" t="s">
        <v>1096</v>
      </c>
      <c r="B987" s="1">
        <v>46238</v>
      </c>
      <c r="C987" t="s">
        <v>100</v>
      </c>
      <c r="D987" t="s">
        <v>730</v>
      </c>
      <c r="E987" t="s">
        <v>36</v>
      </c>
      <c r="F987" t="s">
        <v>30</v>
      </c>
      <c r="G987" s="2">
        <v>46238.791666666657</v>
      </c>
      <c r="H987" s="2">
        <v>46239.291666666657</v>
      </c>
      <c r="I987">
        <v>12</v>
      </c>
      <c r="J987" t="s">
        <v>43</v>
      </c>
      <c r="K987" t="s">
        <v>731</v>
      </c>
    </row>
    <row r="988" spans="1:11" x14ac:dyDescent="0.2">
      <c r="A988" t="s">
        <v>1097</v>
      </c>
      <c r="B988" s="1">
        <v>46238</v>
      </c>
      <c r="C988" t="s">
        <v>100</v>
      </c>
      <c r="D988" t="s">
        <v>730</v>
      </c>
      <c r="E988" t="s">
        <v>14</v>
      </c>
      <c r="F988" t="s">
        <v>23</v>
      </c>
      <c r="G988" s="2">
        <v>46238.291666666657</v>
      </c>
      <c r="H988" s="2">
        <v>46238.791666666657</v>
      </c>
      <c r="I988">
        <v>12</v>
      </c>
      <c r="J988" t="s">
        <v>49</v>
      </c>
      <c r="K988" t="s">
        <v>731</v>
      </c>
    </row>
    <row r="989" spans="1:11" x14ac:dyDescent="0.2">
      <c r="A989" t="s">
        <v>1098</v>
      </c>
      <c r="B989" s="1">
        <v>46238</v>
      </c>
      <c r="C989" t="s">
        <v>100</v>
      </c>
      <c r="D989" t="s">
        <v>730</v>
      </c>
      <c r="E989" t="s">
        <v>14</v>
      </c>
      <c r="F989" t="s">
        <v>30</v>
      </c>
      <c r="G989" s="2">
        <v>46238.791666666657</v>
      </c>
      <c r="H989" s="2">
        <v>46239.291666666657</v>
      </c>
      <c r="I989">
        <v>12</v>
      </c>
      <c r="J989" t="s">
        <v>52</v>
      </c>
      <c r="K989" t="s">
        <v>731</v>
      </c>
    </row>
    <row r="990" spans="1:11" x14ac:dyDescent="0.2">
      <c r="A990" t="s">
        <v>1099</v>
      </c>
      <c r="B990" s="1">
        <v>46238</v>
      </c>
      <c r="C990" t="s">
        <v>100</v>
      </c>
      <c r="D990" t="s">
        <v>730</v>
      </c>
      <c r="E990" t="s">
        <v>38</v>
      </c>
      <c r="F990" t="s">
        <v>23</v>
      </c>
      <c r="G990" s="2">
        <v>46238.291666666657</v>
      </c>
      <c r="H990" s="2">
        <v>46238.791666666657</v>
      </c>
      <c r="I990">
        <v>12</v>
      </c>
      <c r="J990" t="s">
        <v>61</v>
      </c>
      <c r="K990" t="s">
        <v>731</v>
      </c>
    </row>
    <row r="991" spans="1:11" x14ac:dyDescent="0.2">
      <c r="A991" t="s">
        <v>1100</v>
      </c>
      <c r="B991" s="1">
        <v>46238</v>
      </c>
      <c r="C991" t="s">
        <v>100</v>
      </c>
      <c r="D991" t="s">
        <v>730</v>
      </c>
      <c r="E991" t="s">
        <v>38</v>
      </c>
      <c r="F991" t="s">
        <v>30</v>
      </c>
      <c r="G991" s="2">
        <v>46238.791666666657</v>
      </c>
      <c r="H991" s="2">
        <v>46239.291666666657</v>
      </c>
      <c r="I991">
        <v>12</v>
      </c>
      <c r="J991" t="s">
        <v>59</v>
      </c>
      <c r="K991" t="s">
        <v>731</v>
      </c>
    </row>
    <row r="992" spans="1:11" x14ac:dyDescent="0.2">
      <c r="A992" t="s">
        <v>1101</v>
      </c>
      <c r="B992" s="1">
        <v>46238</v>
      </c>
      <c r="C992" t="s">
        <v>100</v>
      </c>
      <c r="D992" t="s">
        <v>730</v>
      </c>
      <c r="E992" t="s">
        <v>29</v>
      </c>
      <c r="F992" t="s">
        <v>23</v>
      </c>
      <c r="G992" s="2">
        <v>46238.291666666657</v>
      </c>
      <c r="H992" s="2">
        <v>46238.791666666657</v>
      </c>
      <c r="I992">
        <v>12</v>
      </c>
      <c r="J992" t="s">
        <v>62</v>
      </c>
      <c r="K992" t="s">
        <v>731</v>
      </c>
    </row>
    <row r="993" spans="1:11" x14ac:dyDescent="0.2">
      <c r="A993" t="s">
        <v>1102</v>
      </c>
      <c r="B993" s="1">
        <v>46238</v>
      </c>
      <c r="C993" t="s">
        <v>100</v>
      </c>
      <c r="D993" t="s">
        <v>730</v>
      </c>
      <c r="E993" t="s">
        <v>29</v>
      </c>
      <c r="F993" t="s">
        <v>30</v>
      </c>
      <c r="G993" s="2">
        <v>46238.791666666657</v>
      </c>
      <c r="H993" s="2">
        <v>46239.291666666657</v>
      </c>
      <c r="I993">
        <v>12</v>
      </c>
      <c r="J993" t="s">
        <v>64</v>
      </c>
      <c r="K993" t="s">
        <v>731</v>
      </c>
    </row>
    <row r="994" spans="1:11" x14ac:dyDescent="0.2">
      <c r="A994" t="s">
        <v>1103</v>
      </c>
      <c r="B994" s="1">
        <v>46238</v>
      </c>
      <c r="C994" t="s">
        <v>100</v>
      </c>
      <c r="D994" t="s">
        <v>730</v>
      </c>
      <c r="E994" t="s">
        <v>20</v>
      </c>
      <c r="F994" t="s">
        <v>23</v>
      </c>
      <c r="G994" s="2">
        <v>46238.291666666657</v>
      </c>
      <c r="H994" s="2">
        <v>46238.791666666657</v>
      </c>
      <c r="I994">
        <v>12</v>
      </c>
      <c r="J994" t="s">
        <v>70</v>
      </c>
      <c r="K994" t="s">
        <v>731</v>
      </c>
    </row>
    <row r="995" spans="1:11" x14ac:dyDescent="0.2">
      <c r="A995" t="s">
        <v>1104</v>
      </c>
      <c r="B995" s="1">
        <v>46238</v>
      </c>
      <c r="C995" t="s">
        <v>100</v>
      </c>
      <c r="D995" t="s">
        <v>730</v>
      </c>
      <c r="E995" t="s">
        <v>20</v>
      </c>
      <c r="F995" t="s">
        <v>30</v>
      </c>
      <c r="G995" s="2">
        <v>46238.791666666657</v>
      </c>
      <c r="H995" s="2">
        <v>46239.291666666657</v>
      </c>
      <c r="I995">
        <v>12</v>
      </c>
      <c r="J995" t="s">
        <v>71</v>
      </c>
      <c r="K995" t="s">
        <v>731</v>
      </c>
    </row>
    <row r="996" spans="1:11" x14ac:dyDescent="0.2">
      <c r="A996" t="s">
        <v>1105</v>
      </c>
      <c r="B996" s="1">
        <v>46238</v>
      </c>
      <c r="C996" t="s">
        <v>100</v>
      </c>
      <c r="D996" t="s">
        <v>730</v>
      </c>
      <c r="E996" t="s">
        <v>72</v>
      </c>
      <c r="F996" t="s">
        <v>23</v>
      </c>
      <c r="G996" s="2">
        <v>46238.291666666657</v>
      </c>
      <c r="H996" s="2">
        <v>46238.791666666657</v>
      </c>
      <c r="I996">
        <v>12</v>
      </c>
      <c r="J996" t="s">
        <v>74</v>
      </c>
      <c r="K996" t="s">
        <v>731</v>
      </c>
    </row>
    <row r="997" spans="1:11" x14ac:dyDescent="0.2">
      <c r="A997" t="s">
        <v>1106</v>
      </c>
      <c r="B997" s="1">
        <v>46238</v>
      </c>
      <c r="C997" t="s">
        <v>100</v>
      </c>
      <c r="D997" t="s">
        <v>730</v>
      </c>
      <c r="E997" t="s">
        <v>72</v>
      </c>
      <c r="F997" t="s">
        <v>30</v>
      </c>
      <c r="G997" s="2">
        <v>46238.791666666657</v>
      </c>
      <c r="H997" s="2">
        <v>46239.291666666657</v>
      </c>
      <c r="I997">
        <v>12</v>
      </c>
      <c r="J997" t="s">
        <v>78</v>
      </c>
      <c r="K997" t="s">
        <v>731</v>
      </c>
    </row>
    <row r="998" spans="1:11" x14ac:dyDescent="0.2">
      <c r="A998" t="s">
        <v>1107</v>
      </c>
      <c r="B998" s="1">
        <v>46238</v>
      </c>
      <c r="C998" t="s">
        <v>100</v>
      </c>
      <c r="D998" t="s">
        <v>730</v>
      </c>
      <c r="E998" t="s">
        <v>56</v>
      </c>
      <c r="F998" t="s">
        <v>23</v>
      </c>
      <c r="G998" s="2">
        <v>46238.291666666657</v>
      </c>
      <c r="H998" s="2">
        <v>46238.791666666657</v>
      </c>
      <c r="I998">
        <v>12</v>
      </c>
      <c r="J998" t="s">
        <v>83</v>
      </c>
      <c r="K998" t="s">
        <v>731</v>
      </c>
    </row>
    <row r="999" spans="1:11" x14ac:dyDescent="0.2">
      <c r="A999" t="s">
        <v>1108</v>
      </c>
      <c r="B999" s="1">
        <v>46238</v>
      </c>
      <c r="C999" t="s">
        <v>100</v>
      </c>
      <c r="D999" t="s">
        <v>730</v>
      </c>
      <c r="E999" t="s">
        <v>56</v>
      </c>
      <c r="F999" t="s">
        <v>30</v>
      </c>
      <c r="G999" s="2">
        <v>46238.791666666657</v>
      </c>
      <c r="H999" s="2">
        <v>46239.291666666657</v>
      </c>
      <c r="I999">
        <v>12</v>
      </c>
      <c r="J999" t="s">
        <v>82</v>
      </c>
      <c r="K999" t="s">
        <v>731</v>
      </c>
    </row>
    <row r="1000" spans="1:11" x14ac:dyDescent="0.2">
      <c r="A1000" t="s">
        <v>1109</v>
      </c>
      <c r="B1000" s="1">
        <v>46238</v>
      </c>
      <c r="C1000" t="s">
        <v>100</v>
      </c>
      <c r="D1000" t="s">
        <v>730</v>
      </c>
      <c r="E1000" t="s">
        <v>50</v>
      </c>
      <c r="F1000" t="s">
        <v>23</v>
      </c>
      <c r="G1000" s="2">
        <v>46238.291666666657</v>
      </c>
      <c r="H1000" s="2">
        <v>46238.791666666657</v>
      </c>
      <c r="I1000">
        <v>12</v>
      </c>
      <c r="J1000" t="s">
        <v>86</v>
      </c>
      <c r="K1000" t="s">
        <v>731</v>
      </c>
    </row>
    <row r="1001" spans="1:11" x14ac:dyDescent="0.2">
      <c r="A1001" t="s">
        <v>1110</v>
      </c>
      <c r="B1001" s="1">
        <v>46238</v>
      </c>
      <c r="C1001" t="s">
        <v>100</v>
      </c>
      <c r="D1001" t="s">
        <v>730</v>
      </c>
      <c r="E1001" t="s">
        <v>50</v>
      </c>
      <c r="F1001" t="s">
        <v>30</v>
      </c>
      <c r="G1001" s="2">
        <v>46238.791666666657</v>
      </c>
      <c r="H1001" s="2">
        <v>46239.291666666657</v>
      </c>
      <c r="I1001">
        <v>12</v>
      </c>
      <c r="J1001" t="s">
        <v>85</v>
      </c>
      <c r="K1001" t="s">
        <v>731</v>
      </c>
    </row>
    <row r="1002" spans="1:11" x14ac:dyDescent="0.2">
      <c r="A1002" t="s">
        <v>1111</v>
      </c>
      <c r="B1002" s="1">
        <v>46239</v>
      </c>
      <c r="C1002" t="s">
        <v>123</v>
      </c>
      <c r="D1002" t="s">
        <v>730</v>
      </c>
      <c r="E1002" t="s">
        <v>32</v>
      </c>
      <c r="F1002" t="s">
        <v>23</v>
      </c>
      <c r="G1002" s="2">
        <v>46239.291666666657</v>
      </c>
      <c r="H1002" s="2">
        <v>46239.791666666657</v>
      </c>
      <c r="I1002">
        <v>12</v>
      </c>
      <c r="J1002" t="s">
        <v>13</v>
      </c>
      <c r="K1002" t="s">
        <v>731</v>
      </c>
    </row>
    <row r="1003" spans="1:11" x14ac:dyDescent="0.2">
      <c r="A1003" t="s">
        <v>1112</v>
      </c>
      <c r="B1003" s="1">
        <v>46239</v>
      </c>
      <c r="C1003" t="s">
        <v>123</v>
      </c>
      <c r="D1003" t="s">
        <v>730</v>
      </c>
      <c r="E1003" t="s">
        <v>32</v>
      </c>
      <c r="F1003" t="s">
        <v>30</v>
      </c>
      <c r="G1003" s="2">
        <v>46239.791666666657</v>
      </c>
      <c r="H1003" s="2">
        <v>46240.291666666657</v>
      </c>
      <c r="I1003">
        <v>12</v>
      </c>
      <c r="J1003" t="s">
        <v>31</v>
      </c>
      <c r="K1003" t="s">
        <v>731</v>
      </c>
    </row>
    <row r="1004" spans="1:11" x14ac:dyDescent="0.2">
      <c r="A1004" t="s">
        <v>1113</v>
      </c>
      <c r="B1004" s="1">
        <v>46239</v>
      </c>
      <c r="C1004" t="s">
        <v>123</v>
      </c>
      <c r="D1004" t="s">
        <v>730</v>
      </c>
      <c r="E1004" t="s">
        <v>48</v>
      </c>
      <c r="F1004" t="s">
        <v>23</v>
      </c>
      <c r="G1004" s="2">
        <v>46239.291666666657</v>
      </c>
      <c r="H1004" s="2">
        <v>46239.791666666657</v>
      </c>
      <c r="I1004">
        <v>12</v>
      </c>
      <c r="J1004" t="s">
        <v>41</v>
      </c>
      <c r="K1004" t="s">
        <v>731</v>
      </c>
    </row>
    <row r="1005" spans="1:11" x14ac:dyDescent="0.2">
      <c r="A1005" t="s">
        <v>1114</v>
      </c>
      <c r="B1005" s="1">
        <v>46239</v>
      </c>
      <c r="C1005" t="s">
        <v>123</v>
      </c>
      <c r="D1005" t="s">
        <v>730</v>
      </c>
      <c r="E1005" t="s">
        <v>48</v>
      </c>
      <c r="F1005" t="s">
        <v>30</v>
      </c>
      <c r="G1005" s="2">
        <v>46239.791666666657</v>
      </c>
      <c r="H1005" s="2">
        <v>46240.291666666657</v>
      </c>
      <c r="I1005">
        <v>12</v>
      </c>
      <c r="J1005" t="s">
        <v>42</v>
      </c>
      <c r="K1005" t="s">
        <v>731</v>
      </c>
    </row>
    <row r="1006" spans="1:11" x14ac:dyDescent="0.2">
      <c r="A1006" t="s">
        <v>1115</v>
      </c>
      <c r="B1006" s="1">
        <v>46239</v>
      </c>
      <c r="C1006" t="s">
        <v>123</v>
      </c>
      <c r="D1006" t="s">
        <v>730</v>
      </c>
      <c r="E1006" t="s">
        <v>36</v>
      </c>
      <c r="F1006" t="s">
        <v>23</v>
      </c>
      <c r="G1006" s="2">
        <v>46239.291666666657</v>
      </c>
      <c r="H1006" s="2">
        <v>46239.791666666657</v>
      </c>
      <c r="I1006">
        <v>12</v>
      </c>
      <c r="J1006" t="s">
        <v>46</v>
      </c>
      <c r="K1006" t="s">
        <v>731</v>
      </c>
    </row>
    <row r="1007" spans="1:11" x14ac:dyDescent="0.2">
      <c r="A1007" t="s">
        <v>1116</v>
      </c>
      <c r="B1007" s="1">
        <v>46239</v>
      </c>
      <c r="C1007" t="s">
        <v>123</v>
      </c>
      <c r="D1007" t="s">
        <v>730</v>
      </c>
      <c r="E1007" t="s">
        <v>36</v>
      </c>
      <c r="F1007" t="s">
        <v>30</v>
      </c>
      <c r="G1007" s="2">
        <v>46239.791666666657</v>
      </c>
      <c r="H1007" s="2">
        <v>46240.291666666657</v>
      </c>
      <c r="I1007">
        <v>12</v>
      </c>
      <c r="J1007" t="s">
        <v>43</v>
      </c>
      <c r="K1007" t="s">
        <v>731</v>
      </c>
    </row>
    <row r="1008" spans="1:11" x14ac:dyDescent="0.2">
      <c r="A1008" t="s">
        <v>1117</v>
      </c>
      <c r="B1008" s="1">
        <v>46239</v>
      </c>
      <c r="C1008" t="s">
        <v>123</v>
      </c>
      <c r="D1008" t="s">
        <v>730</v>
      </c>
      <c r="E1008" t="s">
        <v>14</v>
      </c>
      <c r="F1008" t="s">
        <v>23</v>
      </c>
      <c r="G1008" s="2">
        <v>46239.291666666657</v>
      </c>
      <c r="H1008" s="2">
        <v>46239.791666666657</v>
      </c>
      <c r="I1008">
        <v>12</v>
      </c>
      <c r="J1008" t="s">
        <v>52</v>
      </c>
      <c r="K1008" t="s">
        <v>731</v>
      </c>
    </row>
    <row r="1009" spans="1:11" x14ac:dyDescent="0.2">
      <c r="A1009" t="s">
        <v>1118</v>
      </c>
      <c r="B1009" s="1">
        <v>46239</v>
      </c>
      <c r="C1009" t="s">
        <v>123</v>
      </c>
      <c r="D1009" t="s">
        <v>730</v>
      </c>
      <c r="E1009" t="s">
        <v>14</v>
      </c>
      <c r="F1009" t="s">
        <v>30</v>
      </c>
      <c r="G1009" s="2">
        <v>46239.791666666657</v>
      </c>
      <c r="H1009" s="2">
        <v>46240.291666666657</v>
      </c>
      <c r="I1009">
        <v>12</v>
      </c>
      <c r="J1009" t="s">
        <v>53</v>
      </c>
      <c r="K1009" t="s">
        <v>731</v>
      </c>
    </row>
    <row r="1010" spans="1:11" x14ac:dyDescent="0.2">
      <c r="A1010" t="s">
        <v>1119</v>
      </c>
      <c r="B1010" s="1">
        <v>46239</v>
      </c>
      <c r="C1010" t="s">
        <v>123</v>
      </c>
      <c r="D1010" t="s">
        <v>730</v>
      </c>
      <c r="E1010" t="s">
        <v>38</v>
      </c>
      <c r="F1010" t="s">
        <v>23</v>
      </c>
      <c r="G1010" s="2">
        <v>46239.291666666657</v>
      </c>
      <c r="H1010" s="2">
        <v>46239.791666666657</v>
      </c>
      <c r="I1010">
        <v>12</v>
      </c>
      <c r="J1010" t="s">
        <v>59</v>
      </c>
      <c r="K1010" t="s">
        <v>731</v>
      </c>
    </row>
    <row r="1011" spans="1:11" x14ac:dyDescent="0.2">
      <c r="A1011" t="s">
        <v>1120</v>
      </c>
      <c r="B1011" s="1">
        <v>46239</v>
      </c>
      <c r="C1011" t="s">
        <v>123</v>
      </c>
      <c r="D1011" t="s">
        <v>730</v>
      </c>
      <c r="E1011" t="s">
        <v>38</v>
      </c>
      <c r="F1011" t="s">
        <v>30</v>
      </c>
      <c r="G1011" s="2">
        <v>46239.791666666657</v>
      </c>
      <c r="H1011" s="2">
        <v>46240.291666666657</v>
      </c>
      <c r="I1011">
        <v>12</v>
      </c>
      <c r="J1011" t="s">
        <v>58</v>
      </c>
      <c r="K1011" t="s">
        <v>731</v>
      </c>
    </row>
    <row r="1012" spans="1:11" x14ac:dyDescent="0.2">
      <c r="A1012" t="s">
        <v>1121</v>
      </c>
      <c r="B1012" s="1">
        <v>46239</v>
      </c>
      <c r="C1012" t="s">
        <v>123</v>
      </c>
      <c r="D1012" t="s">
        <v>730</v>
      </c>
      <c r="E1012" t="s">
        <v>29</v>
      </c>
      <c r="F1012" t="s">
        <v>23</v>
      </c>
      <c r="G1012" s="2">
        <v>46239.291666666657</v>
      </c>
      <c r="H1012" s="2">
        <v>46239.791666666657</v>
      </c>
      <c r="I1012">
        <v>12</v>
      </c>
      <c r="J1012" t="s">
        <v>65</v>
      </c>
      <c r="K1012" t="s">
        <v>731</v>
      </c>
    </row>
    <row r="1013" spans="1:11" x14ac:dyDescent="0.2">
      <c r="A1013" t="s">
        <v>1122</v>
      </c>
      <c r="B1013" s="1">
        <v>46239</v>
      </c>
      <c r="C1013" t="s">
        <v>123</v>
      </c>
      <c r="D1013" t="s">
        <v>730</v>
      </c>
      <c r="E1013" t="s">
        <v>29</v>
      </c>
      <c r="F1013" t="s">
        <v>30</v>
      </c>
      <c r="G1013" s="2">
        <v>46239.791666666657</v>
      </c>
      <c r="H1013" s="2">
        <v>46240.291666666657</v>
      </c>
      <c r="I1013">
        <v>12</v>
      </c>
      <c r="J1013" t="s">
        <v>64</v>
      </c>
      <c r="K1013" t="s">
        <v>731</v>
      </c>
    </row>
    <row r="1014" spans="1:11" x14ac:dyDescent="0.2">
      <c r="A1014" t="s">
        <v>1123</v>
      </c>
      <c r="B1014" s="1">
        <v>46239</v>
      </c>
      <c r="C1014" t="s">
        <v>123</v>
      </c>
      <c r="D1014" t="s">
        <v>730</v>
      </c>
      <c r="E1014" t="s">
        <v>20</v>
      </c>
      <c r="F1014" t="s">
        <v>23</v>
      </c>
      <c r="G1014" s="2">
        <v>46239.291666666657</v>
      </c>
      <c r="H1014" s="2">
        <v>46239.791666666657</v>
      </c>
      <c r="I1014">
        <v>12</v>
      </c>
      <c r="J1014" t="s">
        <v>71</v>
      </c>
      <c r="K1014" t="s">
        <v>731</v>
      </c>
    </row>
    <row r="1015" spans="1:11" x14ac:dyDescent="0.2">
      <c r="A1015" t="s">
        <v>1124</v>
      </c>
      <c r="B1015" s="1">
        <v>46239</v>
      </c>
      <c r="C1015" t="s">
        <v>123</v>
      </c>
      <c r="D1015" t="s">
        <v>730</v>
      </c>
      <c r="E1015" t="s">
        <v>20</v>
      </c>
      <c r="F1015" t="s">
        <v>30</v>
      </c>
      <c r="G1015" s="2">
        <v>46239.791666666657</v>
      </c>
      <c r="H1015" s="2">
        <v>46240.291666666657</v>
      </c>
      <c r="I1015">
        <v>12</v>
      </c>
      <c r="J1015" t="s">
        <v>70</v>
      </c>
      <c r="K1015" t="s">
        <v>731</v>
      </c>
    </row>
    <row r="1016" spans="1:11" x14ac:dyDescent="0.2">
      <c r="A1016" t="s">
        <v>1125</v>
      </c>
      <c r="B1016" s="1">
        <v>46239</v>
      </c>
      <c r="C1016" t="s">
        <v>123</v>
      </c>
      <c r="D1016" t="s">
        <v>730</v>
      </c>
      <c r="E1016" t="s">
        <v>72</v>
      </c>
      <c r="F1016" t="s">
        <v>23</v>
      </c>
      <c r="G1016" s="2">
        <v>46239.291666666657</v>
      </c>
      <c r="H1016" s="2">
        <v>46239.791666666657</v>
      </c>
      <c r="I1016">
        <v>12</v>
      </c>
      <c r="J1016" t="s">
        <v>74</v>
      </c>
      <c r="K1016" t="s">
        <v>731</v>
      </c>
    </row>
    <row r="1017" spans="1:11" x14ac:dyDescent="0.2">
      <c r="A1017" t="s">
        <v>1126</v>
      </c>
      <c r="B1017" s="1">
        <v>46239</v>
      </c>
      <c r="C1017" t="s">
        <v>123</v>
      </c>
      <c r="D1017" t="s">
        <v>730</v>
      </c>
      <c r="E1017" t="s">
        <v>72</v>
      </c>
      <c r="F1017" t="s">
        <v>30</v>
      </c>
      <c r="G1017" s="2">
        <v>46239.791666666657</v>
      </c>
      <c r="H1017" s="2">
        <v>46240.291666666657</v>
      </c>
      <c r="I1017">
        <v>12</v>
      </c>
      <c r="J1017" t="s">
        <v>75</v>
      </c>
      <c r="K1017" t="s">
        <v>731</v>
      </c>
    </row>
    <row r="1018" spans="1:11" x14ac:dyDescent="0.2">
      <c r="A1018" t="s">
        <v>1127</v>
      </c>
      <c r="B1018" s="1">
        <v>46239</v>
      </c>
      <c r="C1018" t="s">
        <v>123</v>
      </c>
      <c r="D1018" t="s">
        <v>730</v>
      </c>
      <c r="E1018" t="s">
        <v>56</v>
      </c>
      <c r="F1018" t="s">
        <v>23</v>
      </c>
      <c r="G1018" s="2">
        <v>46239.291666666657</v>
      </c>
      <c r="H1018" s="2">
        <v>46239.791666666657</v>
      </c>
      <c r="I1018">
        <v>12</v>
      </c>
      <c r="J1018" t="s">
        <v>80</v>
      </c>
      <c r="K1018" t="s">
        <v>731</v>
      </c>
    </row>
    <row r="1019" spans="1:11" x14ac:dyDescent="0.2">
      <c r="A1019" t="s">
        <v>1128</v>
      </c>
      <c r="B1019" s="1">
        <v>46239</v>
      </c>
      <c r="C1019" t="s">
        <v>123</v>
      </c>
      <c r="D1019" t="s">
        <v>730</v>
      </c>
      <c r="E1019" t="s">
        <v>56</v>
      </c>
      <c r="F1019" t="s">
        <v>30</v>
      </c>
      <c r="G1019" s="2">
        <v>46239.791666666657</v>
      </c>
      <c r="H1019" s="2">
        <v>46240.291666666657</v>
      </c>
      <c r="I1019">
        <v>12</v>
      </c>
      <c r="J1019" t="s">
        <v>81</v>
      </c>
      <c r="K1019" t="s">
        <v>731</v>
      </c>
    </row>
    <row r="1020" spans="1:11" x14ac:dyDescent="0.2">
      <c r="A1020" t="s">
        <v>1129</v>
      </c>
      <c r="B1020" s="1">
        <v>46239</v>
      </c>
      <c r="C1020" t="s">
        <v>123</v>
      </c>
      <c r="D1020" t="s">
        <v>730</v>
      </c>
      <c r="E1020" t="s">
        <v>50</v>
      </c>
      <c r="F1020" t="s">
        <v>23</v>
      </c>
      <c r="G1020" s="2">
        <v>46239.291666666657</v>
      </c>
      <c r="H1020" s="2">
        <v>46239.791666666657</v>
      </c>
      <c r="I1020">
        <v>12</v>
      </c>
      <c r="J1020" t="s">
        <v>87</v>
      </c>
      <c r="K1020" t="s">
        <v>731</v>
      </c>
    </row>
    <row r="1021" spans="1:11" x14ac:dyDescent="0.2">
      <c r="A1021" t="s">
        <v>1130</v>
      </c>
      <c r="B1021" s="1">
        <v>46239</v>
      </c>
      <c r="C1021" t="s">
        <v>123</v>
      </c>
      <c r="D1021" t="s">
        <v>730</v>
      </c>
      <c r="E1021" t="s">
        <v>50</v>
      </c>
      <c r="F1021" t="s">
        <v>30</v>
      </c>
      <c r="G1021" s="2">
        <v>46239.791666666657</v>
      </c>
      <c r="H1021" s="2">
        <v>46240.291666666657</v>
      </c>
      <c r="I1021">
        <v>12</v>
      </c>
      <c r="J1021" t="s">
        <v>86</v>
      </c>
      <c r="K1021" t="s">
        <v>731</v>
      </c>
    </row>
    <row r="1022" spans="1:11" x14ac:dyDescent="0.2">
      <c r="A1022" t="s">
        <v>1131</v>
      </c>
      <c r="B1022" s="1">
        <v>46240</v>
      </c>
      <c r="C1022" t="s">
        <v>144</v>
      </c>
      <c r="D1022" t="s">
        <v>730</v>
      </c>
      <c r="E1022" t="s">
        <v>32</v>
      </c>
      <c r="F1022" t="s">
        <v>23</v>
      </c>
      <c r="G1022" s="2">
        <v>46240.291666666657</v>
      </c>
      <c r="H1022" s="2">
        <v>46240.791666666657</v>
      </c>
      <c r="I1022">
        <v>12</v>
      </c>
      <c r="J1022" t="s">
        <v>19</v>
      </c>
      <c r="K1022" t="s">
        <v>731</v>
      </c>
    </row>
    <row r="1023" spans="1:11" x14ac:dyDescent="0.2">
      <c r="A1023" t="s">
        <v>1132</v>
      </c>
      <c r="B1023" s="1">
        <v>46240</v>
      </c>
      <c r="C1023" t="s">
        <v>144</v>
      </c>
      <c r="D1023" t="s">
        <v>730</v>
      </c>
      <c r="E1023" t="s">
        <v>32</v>
      </c>
      <c r="F1023" t="s">
        <v>30</v>
      </c>
      <c r="G1023" s="2">
        <v>46240.791666666657</v>
      </c>
      <c r="H1023" s="2">
        <v>46241.291666666657</v>
      </c>
      <c r="I1023">
        <v>12</v>
      </c>
      <c r="J1023" t="s">
        <v>13</v>
      </c>
      <c r="K1023" t="s">
        <v>731</v>
      </c>
    </row>
    <row r="1024" spans="1:11" x14ac:dyDescent="0.2">
      <c r="A1024" t="s">
        <v>1133</v>
      </c>
      <c r="B1024" s="1">
        <v>46240</v>
      </c>
      <c r="C1024" t="s">
        <v>144</v>
      </c>
      <c r="D1024" t="s">
        <v>730</v>
      </c>
      <c r="E1024" t="s">
        <v>48</v>
      </c>
      <c r="F1024" t="s">
        <v>23</v>
      </c>
      <c r="G1024" s="2">
        <v>46240.291666666657</v>
      </c>
      <c r="H1024" s="2">
        <v>46240.791666666657</v>
      </c>
      <c r="I1024">
        <v>12</v>
      </c>
      <c r="J1024" t="s">
        <v>35</v>
      </c>
      <c r="K1024" t="s">
        <v>731</v>
      </c>
    </row>
    <row r="1025" spans="1:11" x14ac:dyDescent="0.2">
      <c r="A1025" t="s">
        <v>1134</v>
      </c>
      <c r="B1025" s="1">
        <v>46240</v>
      </c>
      <c r="C1025" t="s">
        <v>144</v>
      </c>
      <c r="D1025" t="s">
        <v>730</v>
      </c>
      <c r="E1025" t="s">
        <v>48</v>
      </c>
      <c r="F1025" t="s">
        <v>30</v>
      </c>
      <c r="G1025" s="2">
        <v>46240.791666666657</v>
      </c>
      <c r="H1025" s="2">
        <v>46241.291666666657</v>
      </c>
      <c r="I1025">
        <v>12</v>
      </c>
      <c r="J1025" t="s">
        <v>41</v>
      </c>
      <c r="K1025" t="s">
        <v>731</v>
      </c>
    </row>
    <row r="1026" spans="1:11" x14ac:dyDescent="0.2">
      <c r="A1026" t="s">
        <v>1135</v>
      </c>
      <c r="B1026" s="1">
        <v>46240</v>
      </c>
      <c r="C1026" t="s">
        <v>144</v>
      </c>
      <c r="D1026" t="s">
        <v>730</v>
      </c>
      <c r="E1026" t="s">
        <v>36</v>
      </c>
      <c r="F1026" t="s">
        <v>23</v>
      </c>
      <c r="G1026" s="2">
        <v>46240.291666666657</v>
      </c>
      <c r="H1026" s="2">
        <v>46240.791666666657</v>
      </c>
      <c r="I1026">
        <v>12</v>
      </c>
      <c r="J1026" t="s">
        <v>47</v>
      </c>
      <c r="K1026" t="s">
        <v>731</v>
      </c>
    </row>
    <row r="1027" spans="1:11" x14ac:dyDescent="0.2">
      <c r="A1027" t="s">
        <v>1136</v>
      </c>
      <c r="B1027" s="1">
        <v>46240</v>
      </c>
      <c r="C1027" t="s">
        <v>144</v>
      </c>
      <c r="D1027" t="s">
        <v>730</v>
      </c>
      <c r="E1027" t="s">
        <v>36</v>
      </c>
      <c r="F1027" t="s">
        <v>30</v>
      </c>
      <c r="G1027" s="2">
        <v>46240.791666666657</v>
      </c>
      <c r="H1027" s="2">
        <v>46241.291666666657</v>
      </c>
      <c r="I1027">
        <v>12</v>
      </c>
      <c r="J1027" t="s">
        <v>44</v>
      </c>
      <c r="K1027" t="s">
        <v>731</v>
      </c>
    </row>
    <row r="1028" spans="1:11" x14ac:dyDescent="0.2">
      <c r="A1028" t="s">
        <v>1137</v>
      </c>
      <c r="B1028" s="1">
        <v>46240</v>
      </c>
      <c r="C1028" t="s">
        <v>144</v>
      </c>
      <c r="D1028" t="s">
        <v>730</v>
      </c>
      <c r="E1028" t="s">
        <v>14</v>
      </c>
      <c r="F1028" t="s">
        <v>23</v>
      </c>
      <c r="G1028" s="2">
        <v>46240.291666666657</v>
      </c>
      <c r="H1028" s="2">
        <v>46240.791666666657</v>
      </c>
      <c r="I1028">
        <v>12</v>
      </c>
      <c r="J1028" t="s">
        <v>49</v>
      </c>
      <c r="K1028" t="s">
        <v>731</v>
      </c>
    </row>
    <row r="1029" spans="1:11" x14ac:dyDescent="0.2">
      <c r="A1029" t="s">
        <v>1138</v>
      </c>
      <c r="B1029" s="1">
        <v>46240</v>
      </c>
      <c r="C1029" t="s">
        <v>144</v>
      </c>
      <c r="D1029" t="s">
        <v>730</v>
      </c>
      <c r="E1029" t="s">
        <v>14</v>
      </c>
      <c r="F1029" t="s">
        <v>30</v>
      </c>
      <c r="G1029" s="2">
        <v>46240.791666666657</v>
      </c>
      <c r="H1029" s="2">
        <v>46241.291666666657</v>
      </c>
      <c r="I1029">
        <v>12</v>
      </c>
      <c r="J1029" t="s">
        <v>52</v>
      </c>
      <c r="K1029" t="s">
        <v>731</v>
      </c>
    </row>
    <row r="1030" spans="1:11" x14ac:dyDescent="0.2">
      <c r="A1030" t="s">
        <v>1139</v>
      </c>
      <c r="B1030" s="1">
        <v>46240</v>
      </c>
      <c r="C1030" t="s">
        <v>144</v>
      </c>
      <c r="D1030" t="s">
        <v>730</v>
      </c>
      <c r="E1030" t="s">
        <v>38</v>
      </c>
      <c r="F1030" t="s">
        <v>23</v>
      </c>
      <c r="G1030" s="2">
        <v>46240.291666666657</v>
      </c>
      <c r="H1030" s="2">
        <v>46240.791666666657</v>
      </c>
      <c r="I1030">
        <v>12</v>
      </c>
      <c r="J1030" t="s">
        <v>55</v>
      </c>
      <c r="K1030" t="s">
        <v>731</v>
      </c>
    </row>
    <row r="1031" spans="1:11" x14ac:dyDescent="0.2">
      <c r="A1031" t="s">
        <v>1140</v>
      </c>
      <c r="B1031" s="1">
        <v>46240</v>
      </c>
      <c r="C1031" t="s">
        <v>144</v>
      </c>
      <c r="D1031" t="s">
        <v>730</v>
      </c>
      <c r="E1031" t="s">
        <v>38</v>
      </c>
      <c r="F1031" t="s">
        <v>30</v>
      </c>
      <c r="G1031" s="2">
        <v>46240.791666666657</v>
      </c>
      <c r="H1031" s="2">
        <v>46241.291666666657</v>
      </c>
      <c r="I1031">
        <v>12</v>
      </c>
      <c r="J1031" t="s">
        <v>59</v>
      </c>
      <c r="K1031" t="s">
        <v>731</v>
      </c>
    </row>
    <row r="1032" spans="1:11" x14ac:dyDescent="0.2">
      <c r="A1032" t="s">
        <v>1141</v>
      </c>
      <c r="B1032" s="1">
        <v>46240</v>
      </c>
      <c r="C1032" t="s">
        <v>144</v>
      </c>
      <c r="D1032" t="s">
        <v>730</v>
      </c>
      <c r="E1032" t="s">
        <v>29</v>
      </c>
      <c r="F1032" t="s">
        <v>23</v>
      </c>
      <c r="G1032" s="2">
        <v>46240.291666666657</v>
      </c>
      <c r="H1032" s="2">
        <v>46240.791666666657</v>
      </c>
      <c r="I1032">
        <v>12</v>
      </c>
      <c r="J1032" t="s">
        <v>66</v>
      </c>
      <c r="K1032" t="s">
        <v>731</v>
      </c>
    </row>
    <row r="1033" spans="1:11" x14ac:dyDescent="0.2">
      <c r="A1033" t="s">
        <v>1142</v>
      </c>
      <c r="B1033" s="1">
        <v>46240</v>
      </c>
      <c r="C1033" t="s">
        <v>144</v>
      </c>
      <c r="D1033" t="s">
        <v>730</v>
      </c>
      <c r="E1033" t="s">
        <v>29</v>
      </c>
      <c r="F1033" t="s">
        <v>30</v>
      </c>
      <c r="G1033" s="2">
        <v>46240.791666666657</v>
      </c>
      <c r="H1033" s="2">
        <v>46241.291666666657</v>
      </c>
      <c r="I1033">
        <v>12</v>
      </c>
      <c r="J1033" t="s">
        <v>62</v>
      </c>
      <c r="K1033" t="s">
        <v>731</v>
      </c>
    </row>
    <row r="1034" spans="1:11" x14ac:dyDescent="0.2">
      <c r="A1034" t="s">
        <v>1143</v>
      </c>
      <c r="B1034" s="1">
        <v>46240</v>
      </c>
      <c r="C1034" t="s">
        <v>144</v>
      </c>
      <c r="D1034" t="s">
        <v>730</v>
      </c>
      <c r="E1034" t="s">
        <v>20</v>
      </c>
      <c r="F1034" t="s">
        <v>23</v>
      </c>
      <c r="G1034" s="2">
        <v>46240.291666666657</v>
      </c>
      <c r="H1034" s="2">
        <v>46240.791666666657</v>
      </c>
      <c r="I1034">
        <v>12</v>
      </c>
      <c r="J1034" t="s">
        <v>69</v>
      </c>
      <c r="K1034" t="s">
        <v>731</v>
      </c>
    </row>
    <row r="1035" spans="1:11" x14ac:dyDescent="0.2">
      <c r="A1035" t="s">
        <v>1144</v>
      </c>
      <c r="B1035" s="1">
        <v>46240</v>
      </c>
      <c r="C1035" t="s">
        <v>144</v>
      </c>
      <c r="D1035" t="s">
        <v>730</v>
      </c>
      <c r="E1035" t="s">
        <v>20</v>
      </c>
      <c r="F1035" t="s">
        <v>30</v>
      </c>
      <c r="G1035" s="2">
        <v>46240.791666666657</v>
      </c>
      <c r="H1035" s="2">
        <v>46241.291666666657</v>
      </c>
      <c r="I1035">
        <v>12</v>
      </c>
      <c r="J1035" t="s">
        <v>68</v>
      </c>
      <c r="K1035" t="s">
        <v>731</v>
      </c>
    </row>
    <row r="1036" spans="1:11" x14ac:dyDescent="0.2">
      <c r="A1036" t="s">
        <v>1145</v>
      </c>
      <c r="B1036" s="1">
        <v>46240</v>
      </c>
      <c r="C1036" t="s">
        <v>144</v>
      </c>
      <c r="D1036" t="s">
        <v>730</v>
      </c>
      <c r="E1036" t="s">
        <v>72</v>
      </c>
      <c r="F1036" t="s">
        <v>23</v>
      </c>
      <c r="G1036" s="2">
        <v>46240.291666666657</v>
      </c>
      <c r="H1036" s="2">
        <v>46240.791666666657</v>
      </c>
      <c r="I1036">
        <v>12</v>
      </c>
      <c r="J1036" t="s">
        <v>76</v>
      </c>
      <c r="K1036" t="s">
        <v>731</v>
      </c>
    </row>
    <row r="1037" spans="1:11" x14ac:dyDescent="0.2">
      <c r="A1037" t="s">
        <v>1146</v>
      </c>
      <c r="B1037" s="1">
        <v>46240</v>
      </c>
      <c r="C1037" t="s">
        <v>144</v>
      </c>
      <c r="D1037" t="s">
        <v>730</v>
      </c>
      <c r="E1037" t="s">
        <v>72</v>
      </c>
      <c r="F1037" t="s">
        <v>30</v>
      </c>
      <c r="G1037" s="2">
        <v>46240.791666666657</v>
      </c>
      <c r="H1037" s="2">
        <v>46241.291666666657</v>
      </c>
      <c r="I1037">
        <v>12</v>
      </c>
      <c r="J1037" t="s">
        <v>78</v>
      </c>
      <c r="K1037" t="s">
        <v>731</v>
      </c>
    </row>
    <row r="1038" spans="1:11" x14ac:dyDescent="0.2">
      <c r="A1038" t="s">
        <v>1147</v>
      </c>
      <c r="B1038" s="1">
        <v>46240</v>
      </c>
      <c r="C1038" t="s">
        <v>144</v>
      </c>
      <c r="D1038" t="s">
        <v>730</v>
      </c>
      <c r="E1038" t="s">
        <v>56</v>
      </c>
      <c r="F1038" t="s">
        <v>23</v>
      </c>
      <c r="G1038" s="2">
        <v>46240.291666666657</v>
      </c>
      <c r="H1038" s="2">
        <v>46240.791666666657</v>
      </c>
      <c r="I1038">
        <v>12</v>
      </c>
      <c r="J1038" t="s">
        <v>80</v>
      </c>
      <c r="K1038" t="s">
        <v>731</v>
      </c>
    </row>
    <row r="1039" spans="1:11" x14ac:dyDescent="0.2">
      <c r="A1039" t="s">
        <v>1148</v>
      </c>
      <c r="B1039" s="1">
        <v>46240</v>
      </c>
      <c r="C1039" t="s">
        <v>144</v>
      </c>
      <c r="D1039" t="s">
        <v>730</v>
      </c>
      <c r="E1039" t="s">
        <v>56</v>
      </c>
      <c r="F1039" t="s">
        <v>30</v>
      </c>
      <c r="G1039" s="2">
        <v>46240.791666666657</v>
      </c>
      <c r="H1039" s="2">
        <v>46241.291666666657</v>
      </c>
      <c r="I1039">
        <v>12</v>
      </c>
      <c r="J1039" t="s">
        <v>83</v>
      </c>
      <c r="K1039" t="s">
        <v>731</v>
      </c>
    </row>
    <row r="1040" spans="1:11" x14ac:dyDescent="0.2">
      <c r="A1040" t="s">
        <v>1149</v>
      </c>
      <c r="B1040" s="1">
        <v>46240</v>
      </c>
      <c r="C1040" t="s">
        <v>144</v>
      </c>
      <c r="D1040" t="s">
        <v>730</v>
      </c>
      <c r="E1040" t="s">
        <v>50</v>
      </c>
      <c r="F1040" t="s">
        <v>23</v>
      </c>
      <c r="G1040" s="2">
        <v>46240.291666666657</v>
      </c>
      <c r="H1040" s="2">
        <v>46240.791666666657</v>
      </c>
      <c r="I1040">
        <v>12</v>
      </c>
      <c r="J1040" t="s">
        <v>85</v>
      </c>
      <c r="K1040" t="s">
        <v>731</v>
      </c>
    </row>
    <row r="1041" spans="1:11" x14ac:dyDescent="0.2">
      <c r="A1041" t="s">
        <v>1150</v>
      </c>
      <c r="B1041" s="1">
        <v>46240</v>
      </c>
      <c r="C1041" t="s">
        <v>144</v>
      </c>
      <c r="D1041" t="s">
        <v>730</v>
      </c>
      <c r="E1041" t="s">
        <v>50</v>
      </c>
      <c r="F1041" t="s">
        <v>30</v>
      </c>
      <c r="G1041" s="2">
        <v>46240.791666666657</v>
      </c>
      <c r="H1041" s="2">
        <v>46241.291666666657</v>
      </c>
      <c r="I1041">
        <v>12</v>
      </c>
      <c r="J1041" t="s">
        <v>86</v>
      </c>
      <c r="K1041" t="s">
        <v>731</v>
      </c>
    </row>
    <row r="1042" spans="1:11" x14ac:dyDescent="0.2">
      <c r="A1042" t="s">
        <v>1151</v>
      </c>
      <c r="B1042" s="1">
        <v>46241</v>
      </c>
      <c r="C1042" t="s">
        <v>165</v>
      </c>
      <c r="D1042" t="s">
        <v>730</v>
      </c>
      <c r="E1042" t="s">
        <v>32</v>
      </c>
      <c r="F1042" t="s">
        <v>23</v>
      </c>
      <c r="G1042" s="2">
        <v>46241.291666666657</v>
      </c>
      <c r="H1042" s="2">
        <v>46241.791666666657</v>
      </c>
      <c r="I1042">
        <v>12</v>
      </c>
      <c r="J1042" t="s">
        <v>31</v>
      </c>
      <c r="K1042" t="s">
        <v>731</v>
      </c>
    </row>
    <row r="1043" spans="1:11" x14ac:dyDescent="0.2">
      <c r="A1043" t="s">
        <v>1152</v>
      </c>
      <c r="B1043" s="1">
        <v>46241</v>
      </c>
      <c r="C1043" t="s">
        <v>165</v>
      </c>
      <c r="D1043" t="s">
        <v>730</v>
      </c>
      <c r="E1043" t="s">
        <v>32</v>
      </c>
      <c r="F1043" t="s">
        <v>30</v>
      </c>
      <c r="G1043" s="2">
        <v>46241.791666666657</v>
      </c>
      <c r="H1043" s="2">
        <v>46242.291666666657</v>
      </c>
      <c r="I1043">
        <v>12</v>
      </c>
      <c r="J1043" t="s">
        <v>13</v>
      </c>
      <c r="K1043" t="s">
        <v>731</v>
      </c>
    </row>
    <row r="1044" spans="1:11" x14ac:dyDescent="0.2">
      <c r="A1044" t="s">
        <v>1153</v>
      </c>
      <c r="B1044" s="1">
        <v>46241</v>
      </c>
      <c r="C1044" t="s">
        <v>165</v>
      </c>
      <c r="D1044" t="s">
        <v>730</v>
      </c>
      <c r="E1044" t="s">
        <v>48</v>
      </c>
      <c r="F1044" t="s">
        <v>23</v>
      </c>
      <c r="G1044" s="2">
        <v>46241.291666666657</v>
      </c>
      <c r="H1044" s="2">
        <v>46241.791666666657</v>
      </c>
      <c r="I1044">
        <v>12</v>
      </c>
      <c r="J1044" t="s">
        <v>40</v>
      </c>
      <c r="K1044" t="s">
        <v>731</v>
      </c>
    </row>
    <row r="1045" spans="1:11" x14ac:dyDescent="0.2">
      <c r="A1045" t="s">
        <v>1154</v>
      </c>
      <c r="B1045" s="1">
        <v>46241</v>
      </c>
      <c r="C1045" t="s">
        <v>165</v>
      </c>
      <c r="D1045" t="s">
        <v>730</v>
      </c>
      <c r="E1045" t="s">
        <v>48</v>
      </c>
      <c r="F1045" t="s">
        <v>30</v>
      </c>
      <c r="G1045" s="2">
        <v>46241.791666666657</v>
      </c>
      <c r="H1045" s="2">
        <v>46242.291666666657</v>
      </c>
      <c r="I1045">
        <v>12</v>
      </c>
      <c r="J1045" t="s">
        <v>35</v>
      </c>
      <c r="K1045" t="s">
        <v>731</v>
      </c>
    </row>
    <row r="1046" spans="1:11" x14ac:dyDescent="0.2">
      <c r="A1046" t="s">
        <v>1155</v>
      </c>
      <c r="B1046" s="1">
        <v>46241</v>
      </c>
      <c r="C1046" t="s">
        <v>165</v>
      </c>
      <c r="D1046" t="s">
        <v>730</v>
      </c>
      <c r="E1046" t="s">
        <v>36</v>
      </c>
      <c r="F1046" t="s">
        <v>23</v>
      </c>
      <c r="G1046" s="2">
        <v>46241.291666666657</v>
      </c>
      <c r="H1046" s="2">
        <v>46241.791666666657</v>
      </c>
      <c r="I1046">
        <v>12</v>
      </c>
      <c r="J1046" t="s">
        <v>45</v>
      </c>
      <c r="K1046" t="s">
        <v>731</v>
      </c>
    </row>
    <row r="1047" spans="1:11" x14ac:dyDescent="0.2">
      <c r="A1047" t="s">
        <v>1156</v>
      </c>
      <c r="B1047" s="1">
        <v>46241</v>
      </c>
      <c r="C1047" t="s">
        <v>165</v>
      </c>
      <c r="D1047" t="s">
        <v>730</v>
      </c>
      <c r="E1047" t="s">
        <v>36</v>
      </c>
      <c r="F1047" t="s">
        <v>30</v>
      </c>
      <c r="G1047" s="2">
        <v>46241.791666666657</v>
      </c>
      <c r="H1047" s="2">
        <v>46242.291666666657</v>
      </c>
      <c r="I1047">
        <v>12</v>
      </c>
      <c r="J1047" t="s">
        <v>43</v>
      </c>
      <c r="K1047" t="s">
        <v>731</v>
      </c>
    </row>
    <row r="1048" spans="1:11" x14ac:dyDescent="0.2">
      <c r="A1048" t="s">
        <v>1157</v>
      </c>
      <c r="B1048" s="1">
        <v>46241</v>
      </c>
      <c r="C1048" t="s">
        <v>165</v>
      </c>
      <c r="D1048" t="s">
        <v>730</v>
      </c>
      <c r="E1048" t="s">
        <v>14</v>
      </c>
      <c r="F1048" t="s">
        <v>23</v>
      </c>
      <c r="G1048" s="2">
        <v>46241.291666666657</v>
      </c>
      <c r="H1048" s="2">
        <v>46241.791666666657</v>
      </c>
      <c r="I1048">
        <v>12</v>
      </c>
      <c r="J1048" t="s">
        <v>49</v>
      </c>
      <c r="K1048" t="s">
        <v>731</v>
      </c>
    </row>
    <row r="1049" spans="1:11" x14ac:dyDescent="0.2">
      <c r="A1049" t="s">
        <v>1158</v>
      </c>
      <c r="B1049" s="1">
        <v>46241</v>
      </c>
      <c r="C1049" t="s">
        <v>165</v>
      </c>
      <c r="D1049" t="s">
        <v>730</v>
      </c>
      <c r="E1049" t="s">
        <v>14</v>
      </c>
      <c r="F1049" t="s">
        <v>30</v>
      </c>
      <c r="G1049" s="2">
        <v>46241.791666666657</v>
      </c>
      <c r="H1049" s="2">
        <v>46242.291666666657</v>
      </c>
      <c r="I1049">
        <v>12</v>
      </c>
      <c r="J1049" t="s">
        <v>51</v>
      </c>
      <c r="K1049" t="s">
        <v>731</v>
      </c>
    </row>
    <row r="1050" spans="1:11" x14ac:dyDescent="0.2">
      <c r="A1050" t="s">
        <v>1159</v>
      </c>
      <c r="B1050" s="1">
        <v>46241</v>
      </c>
      <c r="C1050" t="s">
        <v>165</v>
      </c>
      <c r="D1050" t="s">
        <v>730</v>
      </c>
      <c r="E1050" t="s">
        <v>38</v>
      </c>
      <c r="F1050" t="s">
        <v>23</v>
      </c>
      <c r="G1050" s="2">
        <v>46241.291666666657</v>
      </c>
      <c r="H1050" s="2">
        <v>46241.791666666657</v>
      </c>
      <c r="I1050">
        <v>12</v>
      </c>
      <c r="J1050" t="s">
        <v>58</v>
      </c>
      <c r="K1050" t="s">
        <v>731</v>
      </c>
    </row>
    <row r="1051" spans="1:11" x14ac:dyDescent="0.2">
      <c r="A1051" t="s">
        <v>1160</v>
      </c>
      <c r="B1051" s="1">
        <v>46241</v>
      </c>
      <c r="C1051" t="s">
        <v>165</v>
      </c>
      <c r="D1051" t="s">
        <v>730</v>
      </c>
      <c r="E1051" t="s">
        <v>38</v>
      </c>
      <c r="F1051" t="s">
        <v>30</v>
      </c>
      <c r="G1051" s="2">
        <v>46241.791666666657</v>
      </c>
      <c r="H1051" s="2">
        <v>46242.291666666657</v>
      </c>
      <c r="I1051">
        <v>12</v>
      </c>
      <c r="J1051" t="s">
        <v>61</v>
      </c>
      <c r="K1051" t="s">
        <v>731</v>
      </c>
    </row>
    <row r="1052" spans="1:11" x14ac:dyDescent="0.2">
      <c r="A1052" t="s">
        <v>1161</v>
      </c>
      <c r="B1052" s="1">
        <v>46241</v>
      </c>
      <c r="C1052" t="s">
        <v>165</v>
      </c>
      <c r="D1052" t="s">
        <v>730</v>
      </c>
      <c r="E1052" t="s">
        <v>29</v>
      </c>
      <c r="F1052" t="s">
        <v>23</v>
      </c>
      <c r="G1052" s="2">
        <v>46241.291666666657</v>
      </c>
      <c r="H1052" s="2">
        <v>46241.791666666657</v>
      </c>
      <c r="I1052">
        <v>12</v>
      </c>
      <c r="J1052" t="s">
        <v>66</v>
      </c>
      <c r="K1052" t="s">
        <v>731</v>
      </c>
    </row>
    <row r="1053" spans="1:11" x14ac:dyDescent="0.2">
      <c r="A1053" t="s">
        <v>1162</v>
      </c>
      <c r="B1053" s="1">
        <v>46241</v>
      </c>
      <c r="C1053" t="s">
        <v>165</v>
      </c>
      <c r="D1053" t="s">
        <v>730</v>
      </c>
      <c r="E1053" t="s">
        <v>29</v>
      </c>
      <c r="F1053" t="s">
        <v>30</v>
      </c>
      <c r="G1053" s="2">
        <v>46241.791666666657</v>
      </c>
      <c r="H1053" s="2">
        <v>46242.291666666657</v>
      </c>
      <c r="I1053">
        <v>12</v>
      </c>
      <c r="J1053" t="s">
        <v>62</v>
      </c>
      <c r="K1053" t="s">
        <v>731</v>
      </c>
    </row>
    <row r="1054" spans="1:11" x14ac:dyDescent="0.2">
      <c r="A1054" t="s">
        <v>1163</v>
      </c>
      <c r="B1054" s="1">
        <v>46241</v>
      </c>
      <c r="C1054" t="s">
        <v>165</v>
      </c>
      <c r="D1054" t="s">
        <v>730</v>
      </c>
      <c r="E1054" t="s">
        <v>20</v>
      </c>
      <c r="F1054" t="s">
        <v>23</v>
      </c>
      <c r="G1054" s="2">
        <v>46241.291666666657</v>
      </c>
      <c r="H1054" s="2">
        <v>46241.791666666657</v>
      </c>
      <c r="I1054">
        <v>12</v>
      </c>
      <c r="J1054" t="s">
        <v>67</v>
      </c>
      <c r="K1054" t="s">
        <v>731</v>
      </c>
    </row>
    <row r="1055" spans="1:11" x14ac:dyDescent="0.2">
      <c r="A1055" t="s">
        <v>1164</v>
      </c>
      <c r="B1055" s="1">
        <v>46241</v>
      </c>
      <c r="C1055" t="s">
        <v>165</v>
      </c>
      <c r="D1055" t="s">
        <v>730</v>
      </c>
      <c r="E1055" t="s">
        <v>20</v>
      </c>
      <c r="F1055" t="s">
        <v>30</v>
      </c>
      <c r="G1055" s="2">
        <v>46241.791666666657</v>
      </c>
      <c r="H1055" s="2">
        <v>46242.291666666657</v>
      </c>
      <c r="I1055">
        <v>12</v>
      </c>
      <c r="J1055" t="s">
        <v>68</v>
      </c>
      <c r="K1055" t="s">
        <v>731</v>
      </c>
    </row>
    <row r="1056" spans="1:11" x14ac:dyDescent="0.2">
      <c r="A1056" t="s">
        <v>1165</v>
      </c>
      <c r="B1056" s="1">
        <v>46241</v>
      </c>
      <c r="C1056" t="s">
        <v>165</v>
      </c>
      <c r="D1056" t="s">
        <v>730</v>
      </c>
      <c r="E1056" t="s">
        <v>72</v>
      </c>
      <c r="F1056" t="s">
        <v>23</v>
      </c>
      <c r="G1056" s="2">
        <v>46241.291666666657</v>
      </c>
      <c r="H1056" s="2">
        <v>46241.791666666657</v>
      </c>
      <c r="I1056">
        <v>12</v>
      </c>
      <c r="J1056" t="s">
        <v>76</v>
      </c>
      <c r="K1056" t="s">
        <v>731</v>
      </c>
    </row>
    <row r="1057" spans="1:11" x14ac:dyDescent="0.2">
      <c r="A1057" t="s">
        <v>1166</v>
      </c>
      <c r="B1057" s="1">
        <v>46241</v>
      </c>
      <c r="C1057" t="s">
        <v>165</v>
      </c>
      <c r="D1057" t="s">
        <v>730</v>
      </c>
      <c r="E1057" t="s">
        <v>72</v>
      </c>
      <c r="F1057" t="s">
        <v>30</v>
      </c>
      <c r="G1057" s="2">
        <v>46241.791666666657</v>
      </c>
      <c r="H1057" s="2">
        <v>46242.291666666657</v>
      </c>
      <c r="I1057">
        <v>12</v>
      </c>
      <c r="J1057" t="s">
        <v>75</v>
      </c>
      <c r="K1057" t="s">
        <v>731</v>
      </c>
    </row>
    <row r="1058" spans="1:11" x14ac:dyDescent="0.2">
      <c r="A1058" t="s">
        <v>1167</v>
      </c>
      <c r="B1058" s="1">
        <v>46241</v>
      </c>
      <c r="C1058" t="s">
        <v>165</v>
      </c>
      <c r="D1058" t="s">
        <v>730</v>
      </c>
      <c r="E1058" t="s">
        <v>56</v>
      </c>
      <c r="F1058" t="s">
        <v>23</v>
      </c>
      <c r="G1058" s="2">
        <v>46241.291666666657</v>
      </c>
      <c r="H1058" s="2">
        <v>46241.791666666657</v>
      </c>
      <c r="I1058">
        <v>12</v>
      </c>
      <c r="J1058" t="s">
        <v>80</v>
      </c>
      <c r="K1058" t="s">
        <v>731</v>
      </c>
    </row>
    <row r="1059" spans="1:11" x14ac:dyDescent="0.2">
      <c r="A1059" t="s">
        <v>1168</v>
      </c>
      <c r="B1059" s="1">
        <v>46241</v>
      </c>
      <c r="C1059" t="s">
        <v>165</v>
      </c>
      <c r="D1059" t="s">
        <v>730</v>
      </c>
      <c r="E1059" t="s">
        <v>56</v>
      </c>
      <c r="F1059" t="s">
        <v>30</v>
      </c>
      <c r="G1059" s="2">
        <v>46241.791666666657</v>
      </c>
      <c r="H1059" s="2">
        <v>46242.291666666657</v>
      </c>
      <c r="I1059">
        <v>12</v>
      </c>
      <c r="J1059" t="s">
        <v>82</v>
      </c>
      <c r="K1059" t="s">
        <v>731</v>
      </c>
    </row>
    <row r="1060" spans="1:11" x14ac:dyDescent="0.2">
      <c r="A1060" t="s">
        <v>1169</v>
      </c>
      <c r="B1060" s="1">
        <v>46241</v>
      </c>
      <c r="C1060" t="s">
        <v>165</v>
      </c>
      <c r="D1060" t="s">
        <v>730</v>
      </c>
      <c r="E1060" t="s">
        <v>50</v>
      </c>
      <c r="F1060" t="s">
        <v>23</v>
      </c>
      <c r="G1060" s="2">
        <v>46241.291666666657</v>
      </c>
      <c r="H1060" s="2">
        <v>46241.791666666657</v>
      </c>
      <c r="I1060">
        <v>12</v>
      </c>
      <c r="J1060" t="s">
        <v>86</v>
      </c>
      <c r="K1060" t="s">
        <v>731</v>
      </c>
    </row>
    <row r="1061" spans="1:11" x14ac:dyDescent="0.2">
      <c r="A1061" t="s">
        <v>1170</v>
      </c>
      <c r="B1061" s="1">
        <v>46241</v>
      </c>
      <c r="C1061" t="s">
        <v>165</v>
      </c>
      <c r="D1061" t="s">
        <v>730</v>
      </c>
      <c r="E1061" t="s">
        <v>50</v>
      </c>
      <c r="F1061" t="s">
        <v>30</v>
      </c>
      <c r="G1061" s="2">
        <v>46241.791666666657</v>
      </c>
      <c r="H1061" s="2">
        <v>46242.291666666657</v>
      </c>
      <c r="I1061">
        <v>12</v>
      </c>
      <c r="J1061" t="s">
        <v>88</v>
      </c>
      <c r="K1061" t="s">
        <v>731</v>
      </c>
    </row>
    <row r="1062" spans="1:11" x14ac:dyDescent="0.2">
      <c r="A1062" t="s">
        <v>1171</v>
      </c>
      <c r="B1062" s="1">
        <v>46242</v>
      </c>
      <c r="C1062" t="s">
        <v>186</v>
      </c>
      <c r="D1062" t="s">
        <v>730</v>
      </c>
      <c r="E1062" t="s">
        <v>32</v>
      </c>
      <c r="F1062" t="s">
        <v>23</v>
      </c>
      <c r="G1062" s="2">
        <v>46242.291666666657</v>
      </c>
      <c r="H1062" s="2">
        <v>46242.791666666657</v>
      </c>
      <c r="I1062">
        <v>12</v>
      </c>
      <c r="J1062" t="s">
        <v>31</v>
      </c>
      <c r="K1062" t="s">
        <v>731</v>
      </c>
    </row>
    <row r="1063" spans="1:11" x14ac:dyDescent="0.2">
      <c r="A1063" t="s">
        <v>1172</v>
      </c>
      <c r="B1063" s="1">
        <v>46242</v>
      </c>
      <c r="C1063" t="s">
        <v>186</v>
      </c>
      <c r="D1063" t="s">
        <v>730</v>
      </c>
      <c r="E1063" t="s">
        <v>32</v>
      </c>
      <c r="F1063" t="s">
        <v>30</v>
      </c>
      <c r="G1063" s="2">
        <v>46242.791666666657</v>
      </c>
      <c r="H1063" s="2">
        <v>46243.291666666657</v>
      </c>
      <c r="I1063">
        <v>12</v>
      </c>
      <c r="J1063" t="s">
        <v>13</v>
      </c>
      <c r="K1063" t="s">
        <v>731</v>
      </c>
    </row>
    <row r="1064" spans="1:11" x14ac:dyDescent="0.2">
      <c r="A1064" t="s">
        <v>1173</v>
      </c>
      <c r="B1064" s="1">
        <v>46242</v>
      </c>
      <c r="C1064" t="s">
        <v>186</v>
      </c>
      <c r="D1064" t="s">
        <v>730</v>
      </c>
      <c r="E1064" t="s">
        <v>48</v>
      </c>
      <c r="F1064" t="s">
        <v>23</v>
      </c>
      <c r="G1064" s="2">
        <v>46242.291666666657</v>
      </c>
      <c r="H1064" s="2">
        <v>46242.791666666657</v>
      </c>
      <c r="I1064">
        <v>12</v>
      </c>
      <c r="J1064" t="s">
        <v>37</v>
      </c>
      <c r="K1064" t="s">
        <v>731</v>
      </c>
    </row>
    <row r="1065" spans="1:11" x14ac:dyDescent="0.2">
      <c r="A1065" t="s">
        <v>1174</v>
      </c>
      <c r="B1065" s="1">
        <v>46242</v>
      </c>
      <c r="C1065" t="s">
        <v>186</v>
      </c>
      <c r="D1065" t="s">
        <v>730</v>
      </c>
      <c r="E1065" t="s">
        <v>48</v>
      </c>
      <c r="F1065" t="s">
        <v>30</v>
      </c>
      <c r="G1065" s="2">
        <v>46242.791666666657</v>
      </c>
      <c r="H1065" s="2">
        <v>46243.291666666657</v>
      </c>
      <c r="I1065">
        <v>12</v>
      </c>
      <c r="J1065" t="s">
        <v>35</v>
      </c>
      <c r="K1065" t="s">
        <v>731</v>
      </c>
    </row>
    <row r="1066" spans="1:11" x14ac:dyDescent="0.2">
      <c r="A1066" t="s">
        <v>1175</v>
      </c>
      <c r="B1066" s="1">
        <v>46242</v>
      </c>
      <c r="C1066" t="s">
        <v>186</v>
      </c>
      <c r="D1066" t="s">
        <v>730</v>
      </c>
      <c r="E1066" t="s">
        <v>36</v>
      </c>
      <c r="F1066" t="s">
        <v>23</v>
      </c>
      <c r="G1066" s="2">
        <v>46242.291666666657</v>
      </c>
      <c r="H1066" s="2">
        <v>46242.791666666657</v>
      </c>
      <c r="I1066">
        <v>12</v>
      </c>
      <c r="J1066" t="s">
        <v>44</v>
      </c>
      <c r="K1066" t="s">
        <v>731</v>
      </c>
    </row>
    <row r="1067" spans="1:11" x14ac:dyDescent="0.2">
      <c r="A1067" t="s">
        <v>1176</v>
      </c>
      <c r="B1067" s="1">
        <v>46242</v>
      </c>
      <c r="C1067" t="s">
        <v>186</v>
      </c>
      <c r="D1067" t="s">
        <v>730</v>
      </c>
      <c r="E1067" t="s">
        <v>36</v>
      </c>
      <c r="F1067" t="s">
        <v>30</v>
      </c>
      <c r="G1067" s="2">
        <v>46242.791666666657</v>
      </c>
      <c r="H1067" s="2">
        <v>46243.291666666657</v>
      </c>
      <c r="I1067">
        <v>12</v>
      </c>
      <c r="J1067" t="s">
        <v>47</v>
      </c>
      <c r="K1067" t="s">
        <v>731</v>
      </c>
    </row>
    <row r="1068" spans="1:11" x14ac:dyDescent="0.2">
      <c r="A1068" t="s">
        <v>1177</v>
      </c>
      <c r="B1068" s="1">
        <v>46242</v>
      </c>
      <c r="C1068" t="s">
        <v>186</v>
      </c>
      <c r="D1068" t="s">
        <v>730</v>
      </c>
      <c r="E1068" t="s">
        <v>14</v>
      </c>
      <c r="F1068" t="s">
        <v>23</v>
      </c>
      <c r="G1068" s="2">
        <v>46242.291666666657</v>
      </c>
      <c r="H1068" s="2">
        <v>46242.791666666657</v>
      </c>
      <c r="I1068">
        <v>12</v>
      </c>
      <c r="J1068" t="s">
        <v>49</v>
      </c>
      <c r="K1068" t="s">
        <v>731</v>
      </c>
    </row>
    <row r="1069" spans="1:11" x14ac:dyDescent="0.2">
      <c r="A1069" t="s">
        <v>1178</v>
      </c>
      <c r="B1069" s="1">
        <v>46242</v>
      </c>
      <c r="C1069" t="s">
        <v>186</v>
      </c>
      <c r="D1069" t="s">
        <v>730</v>
      </c>
      <c r="E1069" t="s">
        <v>14</v>
      </c>
      <c r="F1069" t="s">
        <v>30</v>
      </c>
      <c r="G1069" s="2">
        <v>46242.791666666657</v>
      </c>
      <c r="H1069" s="2">
        <v>46243.291666666657</v>
      </c>
      <c r="I1069">
        <v>12</v>
      </c>
      <c r="J1069" t="s">
        <v>52</v>
      </c>
      <c r="K1069" t="s">
        <v>731</v>
      </c>
    </row>
    <row r="1070" spans="1:11" x14ac:dyDescent="0.2">
      <c r="A1070" t="s">
        <v>1179</v>
      </c>
      <c r="B1070" s="1">
        <v>46242</v>
      </c>
      <c r="C1070" t="s">
        <v>186</v>
      </c>
      <c r="D1070" t="s">
        <v>730</v>
      </c>
      <c r="E1070" t="s">
        <v>38</v>
      </c>
      <c r="F1070" t="s">
        <v>23</v>
      </c>
      <c r="G1070" s="2">
        <v>46242.291666666657</v>
      </c>
      <c r="H1070" s="2">
        <v>46242.791666666657</v>
      </c>
      <c r="I1070">
        <v>12</v>
      </c>
      <c r="J1070" t="s">
        <v>58</v>
      </c>
      <c r="K1070" t="s">
        <v>731</v>
      </c>
    </row>
    <row r="1071" spans="1:11" x14ac:dyDescent="0.2">
      <c r="A1071" t="s">
        <v>1180</v>
      </c>
      <c r="B1071" s="1">
        <v>46242</v>
      </c>
      <c r="C1071" t="s">
        <v>186</v>
      </c>
      <c r="D1071" t="s">
        <v>730</v>
      </c>
      <c r="E1071" t="s">
        <v>38</v>
      </c>
      <c r="F1071" t="s">
        <v>30</v>
      </c>
      <c r="G1071" s="2">
        <v>46242.791666666657</v>
      </c>
      <c r="H1071" s="2">
        <v>46243.291666666657</v>
      </c>
      <c r="I1071">
        <v>12</v>
      </c>
      <c r="J1071" t="s">
        <v>59</v>
      </c>
      <c r="K1071" t="s">
        <v>731</v>
      </c>
    </row>
    <row r="1072" spans="1:11" x14ac:dyDescent="0.2">
      <c r="A1072" t="s">
        <v>1181</v>
      </c>
      <c r="B1072" s="1">
        <v>46242</v>
      </c>
      <c r="C1072" t="s">
        <v>186</v>
      </c>
      <c r="D1072" t="s">
        <v>730</v>
      </c>
      <c r="E1072" t="s">
        <v>29</v>
      </c>
      <c r="F1072" t="s">
        <v>23</v>
      </c>
      <c r="G1072" s="2">
        <v>46242.291666666657</v>
      </c>
      <c r="H1072" s="2">
        <v>46242.791666666657</v>
      </c>
      <c r="I1072">
        <v>12</v>
      </c>
      <c r="J1072" t="s">
        <v>64</v>
      </c>
      <c r="K1072" t="s">
        <v>731</v>
      </c>
    </row>
    <row r="1073" spans="1:11" x14ac:dyDescent="0.2">
      <c r="A1073" t="s">
        <v>1182</v>
      </c>
      <c r="B1073" s="1">
        <v>46242</v>
      </c>
      <c r="C1073" t="s">
        <v>186</v>
      </c>
      <c r="D1073" t="s">
        <v>730</v>
      </c>
      <c r="E1073" t="s">
        <v>29</v>
      </c>
      <c r="F1073" t="s">
        <v>30</v>
      </c>
      <c r="G1073" s="2">
        <v>46242.791666666657</v>
      </c>
      <c r="H1073" s="2">
        <v>46243.291666666657</v>
      </c>
      <c r="I1073">
        <v>12</v>
      </c>
      <c r="J1073" t="s">
        <v>66</v>
      </c>
      <c r="K1073" t="s">
        <v>731</v>
      </c>
    </row>
    <row r="1074" spans="1:11" x14ac:dyDescent="0.2">
      <c r="A1074" t="s">
        <v>1183</v>
      </c>
      <c r="B1074" s="1">
        <v>46242</v>
      </c>
      <c r="C1074" t="s">
        <v>186</v>
      </c>
      <c r="D1074" t="s">
        <v>730</v>
      </c>
      <c r="E1074" t="s">
        <v>20</v>
      </c>
      <c r="F1074" t="s">
        <v>23</v>
      </c>
      <c r="G1074" s="2">
        <v>46242.291666666657</v>
      </c>
      <c r="H1074" s="2">
        <v>46242.791666666657</v>
      </c>
      <c r="I1074">
        <v>12</v>
      </c>
      <c r="J1074" t="s">
        <v>70</v>
      </c>
      <c r="K1074" t="s">
        <v>731</v>
      </c>
    </row>
    <row r="1075" spans="1:11" x14ac:dyDescent="0.2">
      <c r="A1075" t="s">
        <v>1184</v>
      </c>
      <c r="B1075" s="1">
        <v>46242</v>
      </c>
      <c r="C1075" t="s">
        <v>186</v>
      </c>
      <c r="D1075" t="s">
        <v>730</v>
      </c>
      <c r="E1075" t="s">
        <v>20</v>
      </c>
      <c r="F1075" t="s">
        <v>30</v>
      </c>
      <c r="G1075" s="2">
        <v>46242.791666666657</v>
      </c>
      <c r="H1075" s="2">
        <v>46243.291666666657</v>
      </c>
      <c r="I1075">
        <v>12</v>
      </c>
      <c r="J1075" t="s">
        <v>71</v>
      </c>
      <c r="K1075" t="s">
        <v>731</v>
      </c>
    </row>
    <row r="1076" spans="1:11" x14ac:dyDescent="0.2">
      <c r="A1076" t="s">
        <v>1185</v>
      </c>
      <c r="B1076" s="1">
        <v>46242</v>
      </c>
      <c r="C1076" t="s">
        <v>186</v>
      </c>
      <c r="D1076" t="s">
        <v>730</v>
      </c>
      <c r="E1076" t="s">
        <v>72</v>
      </c>
      <c r="F1076" t="s">
        <v>23</v>
      </c>
      <c r="G1076" s="2">
        <v>46242.291666666657</v>
      </c>
      <c r="H1076" s="2">
        <v>46242.791666666657</v>
      </c>
      <c r="I1076">
        <v>12</v>
      </c>
      <c r="J1076" t="s">
        <v>78</v>
      </c>
      <c r="K1076" t="s">
        <v>731</v>
      </c>
    </row>
    <row r="1077" spans="1:11" x14ac:dyDescent="0.2">
      <c r="A1077" t="s">
        <v>1186</v>
      </c>
      <c r="B1077" s="1">
        <v>46242</v>
      </c>
      <c r="C1077" t="s">
        <v>186</v>
      </c>
      <c r="D1077" t="s">
        <v>730</v>
      </c>
      <c r="E1077" t="s">
        <v>72</v>
      </c>
      <c r="F1077" t="s">
        <v>30</v>
      </c>
      <c r="G1077" s="2">
        <v>46242.791666666657</v>
      </c>
      <c r="H1077" s="2">
        <v>46243.291666666657</v>
      </c>
      <c r="I1077">
        <v>12</v>
      </c>
      <c r="J1077" t="s">
        <v>75</v>
      </c>
      <c r="K1077" t="s">
        <v>731</v>
      </c>
    </row>
    <row r="1078" spans="1:11" x14ac:dyDescent="0.2">
      <c r="A1078" t="s">
        <v>1187</v>
      </c>
      <c r="B1078" s="1">
        <v>46242</v>
      </c>
      <c r="C1078" t="s">
        <v>186</v>
      </c>
      <c r="D1078" t="s">
        <v>730</v>
      </c>
      <c r="E1078" t="s">
        <v>56</v>
      </c>
      <c r="F1078" t="s">
        <v>23</v>
      </c>
      <c r="G1078" s="2">
        <v>46242.291666666657</v>
      </c>
      <c r="H1078" s="2">
        <v>46242.791666666657</v>
      </c>
      <c r="I1078">
        <v>12</v>
      </c>
      <c r="J1078" t="s">
        <v>83</v>
      </c>
      <c r="K1078" t="s">
        <v>731</v>
      </c>
    </row>
    <row r="1079" spans="1:11" x14ac:dyDescent="0.2">
      <c r="A1079" t="s">
        <v>1188</v>
      </c>
      <c r="B1079" s="1">
        <v>46242</v>
      </c>
      <c r="C1079" t="s">
        <v>186</v>
      </c>
      <c r="D1079" t="s">
        <v>730</v>
      </c>
      <c r="E1079" t="s">
        <v>56</v>
      </c>
      <c r="F1079" t="s">
        <v>30</v>
      </c>
      <c r="G1079" s="2">
        <v>46242.791666666657</v>
      </c>
      <c r="H1079" s="2">
        <v>46243.291666666657</v>
      </c>
      <c r="I1079">
        <v>12</v>
      </c>
      <c r="J1079" t="s">
        <v>79</v>
      </c>
      <c r="K1079" t="s">
        <v>731</v>
      </c>
    </row>
    <row r="1080" spans="1:11" x14ac:dyDescent="0.2">
      <c r="A1080" t="s">
        <v>1189</v>
      </c>
      <c r="B1080" s="1">
        <v>46242</v>
      </c>
      <c r="C1080" t="s">
        <v>186</v>
      </c>
      <c r="D1080" t="s">
        <v>730</v>
      </c>
      <c r="E1080" t="s">
        <v>50</v>
      </c>
      <c r="F1080" t="s">
        <v>23</v>
      </c>
      <c r="G1080" s="2">
        <v>46242.291666666657</v>
      </c>
      <c r="H1080" s="2">
        <v>46242.791666666657</v>
      </c>
      <c r="I1080">
        <v>12</v>
      </c>
      <c r="J1080" t="s">
        <v>85</v>
      </c>
      <c r="K1080" t="s">
        <v>731</v>
      </c>
    </row>
    <row r="1081" spans="1:11" x14ac:dyDescent="0.2">
      <c r="A1081" t="s">
        <v>1190</v>
      </c>
      <c r="B1081" s="1">
        <v>46242</v>
      </c>
      <c r="C1081" t="s">
        <v>186</v>
      </c>
      <c r="D1081" t="s">
        <v>730</v>
      </c>
      <c r="E1081" t="s">
        <v>50</v>
      </c>
      <c r="F1081" t="s">
        <v>30</v>
      </c>
      <c r="G1081" s="2">
        <v>46242.791666666657</v>
      </c>
      <c r="H1081" s="2">
        <v>46243.291666666657</v>
      </c>
      <c r="I1081">
        <v>12</v>
      </c>
      <c r="J1081" t="s">
        <v>86</v>
      </c>
      <c r="K1081" t="s">
        <v>731</v>
      </c>
    </row>
    <row r="1082" spans="1:11" x14ac:dyDescent="0.2">
      <c r="A1082" t="s">
        <v>1191</v>
      </c>
      <c r="B1082" s="1">
        <v>46243</v>
      </c>
      <c r="C1082" t="s">
        <v>207</v>
      </c>
      <c r="D1082" t="s">
        <v>730</v>
      </c>
      <c r="E1082" t="s">
        <v>32</v>
      </c>
      <c r="F1082" t="s">
        <v>23</v>
      </c>
      <c r="G1082" s="2">
        <v>46243.291666666657</v>
      </c>
      <c r="H1082" s="2">
        <v>46243.791666666657</v>
      </c>
      <c r="I1082">
        <v>12</v>
      </c>
      <c r="J1082" t="s">
        <v>13</v>
      </c>
      <c r="K1082" t="s">
        <v>731</v>
      </c>
    </row>
    <row r="1083" spans="1:11" x14ac:dyDescent="0.2">
      <c r="A1083" t="s">
        <v>1192</v>
      </c>
      <c r="B1083" s="1">
        <v>46243</v>
      </c>
      <c r="C1083" t="s">
        <v>207</v>
      </c>
      <c r="D1083" t="s">
        <v>730</v>
      </c>
      <c r="E1083" t="s">
        <v>32</v>
      </c>
      <c r="F1083" t="s">
        <v>30</v>
      </c>
      <c r="G1083" s="2">
        <v>46243.791666666657</v>
      </c>
      <c r="H1083" s="2">
        <v>46244.291666666657</v>
      </c>
      <c r="I1083">
        <v>12</v>
      </c>
      <c r="J1083" t="s">
        <v>31</v>
      </c>
      <c r="K1083" t="s">
        <v>731</v>
      </c>
    </row>
    <row r="1084" spans="1:11" x14ac:dyDescent="0.2">
      <c r="A1084" t="s">
        <v>1193</v>
      </c>
      <c r="B1084" s="1">
        <v>46243</v>
      </c>
      <c r="C1084" t="s">
        <v>207</v>
      </c>
      <c r="D1084" t="s">
        <v>730</v>
      </c>
      <c r="E1084" t="s">
        <v>48</v>
      </c>
      <c r="F1084" t="s">
        <v>23</v>
      </c>
      <c r="G1084" s="2">
        <v>46243.291666666657</v>
      </c>
      <c r="H1084" s="2">
        <v>46243.791666666657</v>
      </c>
      <c r="I1084">
        <v>12</v>
      </c>
      <c r="J1084" t="s">
        <v>42</v>
      </c>
      <c r="K1084" t="s">
        <v>731</v>
      </c>
    </row>
    <row r="1085" spans="1:11" x14ac:dyDescent="0.2">
      <c r="A1085" t="s">
        <v>1194</v>
      </c>
      <c r="B1085" s="1">
        <v>46243</v>
      </c>
      <c r="C1085" t="s">
        <v>207</v>
      </c>
      <c r="D1085" t="s">
        <v>730</v>
      </c>
      <c r="E1085" t="s">
        <v>48</v>
      </c>
      <c r="F1085" t="s">
        <v>30</v>
      </c>
      <c r="G1085" s="2">
        <v>46243.791666666657</v>
      </c>
      <c r="H1085" s="2">
        <v>46244.291666666657</v>
      </c>
      <c r="I1085">
        <v>12</v>
      </c>
      <c r="J1085" t="s">
        <v>40</v>
      </c>
      <c r="K1085" t="s">
        <v>731</v>
      </c>
    </row>
    <row r="1086" spans="1:11" x14ac:dyDescent="0.2">
      <c r="A1086" t="s">
        <v>1195</v>
      </c>
      <c r="B1086" s="1">
        <v>46243</v>
      </c>
      <c r="C1086" t="s">
        <v>207</v>
      </c>
      <c r="D1086" t="s">
        <v>730</v>
      </c>
      <c r="E1086" t="s">
        <v>36</v>
      </c>
      <c r="F1086" t="s">
        <v>23</v>
      </c>
      <c r="G1086" s="2">
        <v>46243.291666666657</v>
      </c>
      <c r="H1086" s="2">
        <v>46243.791666666657</v>
      </c>
      <c r="I1086">
        <v>12</v>
      </c>
      <c r="J1086" t="s">
        <v>43</v>
      </c>
      <c r="K1086" t="s">
        <v>731</v>
      </c>
    </row>
    <row r="1087" spans="1:11" x14ac:dyDescent="0.2">
      <c r="A1087" t="s">
        <v>1196</v>
      </c>
      <c r="B1087" s="1">
        <v>46243</v>
      </c>
      <c r="C1087" t="s">
        <v>207</v>
      </c>
      <c r="D1087" t="s">
        <v>730</v>
      </c>
      <c r="E1087" t="s">
        <v>36</v>
      </c>
      <c r="F1087" t="s">
        <v>30</v>
      </c>
      <c r="G1087" s="2">
        <v>46243.791666666657</v>
      </c>
      <c r="H1087" s="2">
        <v>46244.291666666657</v>
      </c>
      <c r="I1087">
        <v>12</v>
      </c>
      <c r="J1087" t="s">
        <v>44</v>
      </c>
      <c r="K1087" t="s">
        <v>731</v>
      </c>
    </row>
    <row r="1088" spans="1:11" x14ac:dyDescent="0.2">
      <c r="A1088" t="s">
        <v>1197</v>
      </c>
      <c r="B1088" s="1">
        <v>46243</v>
      </c>
      <c r="C1088" t="s">
        <v>207</v>
      </c>
      <c r="D1088" t="s">
        <v>730</v>
      </c>
      <c r="E1088" t="s">
        <v>14</v>
      </c>
      <c r="F1088" t="s">
        <v>23</v>
      </c>
      <c r="G1088" s="2">
        <v>46243.291666666657</v>
      </c>
      <c r="H1088" s="2">
        <v>46243.791666666657</v>
      </c>
      <c r="I1088">
        <v>12</v>
      </c>
      <c r="J1088" t="s">
        <v>49</v>
      </c>
      <c r="K1088" t="s">
        <v>731</v>
      </c>
    </row>
    <row r="1089" spans="1:11" x14ac:dyDescent="0.2">
      <c r="A1089" t="s">
        <v>1198</v>
      </c>
      <c r="B1089" s="1">
        <v>46243</v>
      </c>
      <c r="C1089" t="s">
        <v>207</v>
      </c>
      <c r="D1089" t="s">
        <v>730</v>
      </c>
      <c r="E1089" t="s">
        <v>14</v>
      </c>
      <c r="F1089" t="s">
        <v>30</v>
      </c>
      <c r="G1089" s="2">
        <v>46243.791666666657</v>
      </c>
      <c r="H1089" s="2">
        <v>46244.291666666657</v>
      </c>
      <c r="I1089">
        <v>12</v>
      </c>
      <c r="J1089" t="s">
        <v>54</v>
      </c>
      <c r="K1089" t="s">
        <v>731</v>
      </c>
    </row>
    <row r="1090" spans="1:11" x14ac:dyDescent="0.2">
      <c r="A1090" t="s">
        <v>1199</v>
      </c>
      <c r="B1090" s="1">
        <v>46243</v>
      </c>
      <c r="C1090" t="s">
        <v>207</v>
      </c>
      <c r="D1090" t="s">
        <v>730</v>
      </c>
      <c r="E1090" t="s">
        <v>38</v>
      </c>
      <c r="F1090" t="s">
        <v>23</v>
      </c>
      <c r="G1090" s="2">
        <v>46243.291666666657</v>
      </c>
      <c r="H1090" s="2">
        <v>46243.791666666657</v>
      </c>
      <c r="I1090">
        <v>12</v>
      </c>
      <c r="J1090" t="s">
        <v>58</v>
      </c>
      <c r="K1090" t="s">
        <v>731</v>
      </c>
    </row>
    <row r="1091" spans="1:11" x14ac:dyDescent="0.2">
      <c r="A1091" t="s">
        <v>1200</v>
      </c>
      <c r="B1091" s="1">
        <v>46243</v>
      </c>
      <c r="C1091" t="s">
        <v>207</v>
      </c>
      <c r="D1091" t="s">
        <v>730</v>
      </c>
      <c r="E1091" t="s">
        <v>38</v>
      </c>
      <c r="F1091" t="s">
        <v>30</v>
      </c>
      <c r="G1091" s="2">
        <v>46243.791666666657</v>
      </c>
      <c r="H1091" s="2">
        <v>46244.291666666657</v>
      </c>
      <c r="I1091">
        <v>12</v>
      </c>
      <c r="J1091" t="s">
        <v>61</v>
      </c>
      <c r="K1091" t="s">
        <v>731</v>
      </c>
    </row>
    <row r="1092" spans="1:11" x14ac:dyDescent="0.2">
      <c r="A1092" t="s">
        <v>1201</v>
      </c>
      <c r="B1092" s="1">
        <v>46243</v>
      </c>
      <c r="C1092" t="s">
        <v>207</v>
      </c>
      <c r="D1092" t="s">
        <v>730</v>
      </c>
      <c r="E1092" t="s">
        <v>29</v>
      </c>
      <c r="F1092" t="s">
        <v>23</v>
      </c>
      <c r="G1092" s="2">
        <v>46243.291666666657</v>
      </c>
      <c r="H1092" s="2">
        <v>46243.791666666657</v>
      </c>
      <c r="I1092">
        <v>12</v>
      </c>
      <c r="J1092" t="s">
        <v>66</v>
      </c>
      <c r="K1092" t="s">
        <v>731</v>
      </c>
    </row>
    <row r="1093" spans="1:11" x14ac:dyDescent="0.2">
      <c r="A1093" t="s">
        <v>1202</v>
      </c>
      <c r="B1093" s="1">
        <v>46243</v>
      </c>
      <c r="C1093" t="s">
        <v>207</v>
      </c>
      <c r="D1093" t="s">
        <v>730</v>
      </c>
      <c r="E1093" t="s">
        <v>29</v>
      </c>
      <c r="F1093" t="s">
        <v>30</v>
      </c>
      <c r="G1093" s="2">
        <v>46243.791666666657</v>
      </c>
      <c r="H1093" s="2">
        <v>46244.291666666657</v>
      </c>
      <c r="I1093">
        <v>12</v>
      </c>
      <c r="J1093" t="s">
        <v>62</v>
      </c>
      <c r="K1093" t="s">
        <v>731</v>
      </c>
    </row>
    <row r="1094" spans="1:11" x14ac:dyDescent="0.2">
      <c r="A1094" t="s">
        <v>1203</v>
      </c>
      <c r="B1094" s="1">
        <v>46243</v>
      </c>
      <c r="C1094" t="s">
        <v>207</v>
      </c>
      <c r="D1094" t="s">
        <v>730</v>
      </c>
      <c r="E1094" t="s">
        <v>20</v>
      </c>
      <c r="F1094" t="s">
        <v>23</v>
      </c>
      <c r="G1094" s="2">
        <v>46243.291666666657</v>
      </c>
      <c r="H1094" s="2">
        <v>46243.791666666657</v>
      </c>
      <c r="I1094">
        <v>12</v>
      </c>
      <c r="J1094" t="s">
        <v>68</v>
      </c>
      <c r="K1094" t="s">
        <v>731</v>
      </c>
    </row>
    <row r="1095" spans="1:11" x14ac:dyDescent="0.2">
      <c r="A1095" t="s">
        <v>1204</v>
      </c>
      <c r="B1095" s="1">
        <v>46243</v>
      </c>
      <c r="C1095" t="s">
        <v>207</v>
      </c>
      <c r="D1095" t="s">
        <v>730</v>
      </c>
      <c r="E1095" t="s">
        <v>20</v>
      </c>
      <c r="F1095" t="s">
        <v>30</v>
      </c>
      <c r="G1095" s="2">
        <v>46243.791666666657</v>
      </c>
      <c r="H1095" s="2">
        <v>46244.291666666657</v>
      </c>
      <c r="I1095">
        <v>12</v>
      </c>
      <c r="J1095" t="s">
        <v>70</v>
      </c>
      <c r="K1095" t="s">
        <v>731</v>
      </c>
    </row>
    <row r="1096" spans="1:11" x14ac:dyDescent="0.2">
      <c r="A1096" t="s">
        <v>1205</v>
      </c>
      <c r="B1096" s="1">
        <v>46243</v>
      </c>
      <c r="C1096" t="s">
        <v>207</v>
      </c>
      <c r="D1096" t="s">
        <v>730</v>
      </c>
      <c r="E1096" t="s">
        <v>72</v>
      </c>
      <c r="F1096" t="s">
        <v>23</v>
      </c>
      <c r="G1096" s="2">
        <v>46243.291666666657</v>
      </c>
      <c r="H1096" s="2">
        <v>46243.791666666657</v>
      </c>
      <c r="I1096">
        <v>12</v>
      </c>
      <c r="J1096" t="s">
        <v>75</v>
      </c>
      <c r="K1096" t="s">
        <v>731</v>
      </c>
    </row>
    <row r="1097" spans="1:11" x14ac:dyDescent="0.2">
      <c r="A1097" t="s">
        <v>1206</v>
      </c>
      <c r="B1097" s="1">
        <v>46243</v>
      </c>
      <c r="C1097" t="s">
        <v>207</v>
      </c>
      <c r="D1097" t="s">
        <v>730</v>
      </c>
      <c r="E1097" t="s">
        <v>72</v>
      </c>
      <c r="F1097" t="s">
        <v>30</v>
      </c>
      <c r="G1097" s="2">
        <v>46243.791666666657</v>
      </c>
      <c r="H1097" s="2">
        <v>46244.291666666657</v>
      </c>
      <c r="I1097">
        <v>12</v>
      </c>
      <c r="J1097" t="s">
        <v>78</v>
      </c>
      <c r="K1097" t="s">
        <v>731</v>
      </c>
    </row>
    <row r="1098" spans="1:11" x14ac:dyDescent="0.2">
      <c r="A1098" t="s">
        <v>1207</v>
      </c>
      <c r="B1098" s="1">
        <v>46243</v>
      </c>
      <c r="C1098" t="s">
        <v>207</v>
      </c>
      <c r="D1098" t="s">
        <v>730</v>
      </c>
      <c r="E1098" t="s">
        <v>56</v>
      </c>
      <c r="F1098" t="s">
        <v>23</v>
      </c>
      <c r="G1098" s="2">
        <v>46243.291666666657</v>
      </c>
      <c r="H1098" s="2">
        <v>46243.791666666657</v>
      </c>
      <c r="I1098">
        <v>12</v>
      </c>
      <c r="J1098" t="s">
        <v>79</v>
      </c>
      <c r="K1098" t="s">
        <v>731</v>
      </c>
    </row>
    <row r="1099" spans="1:11" x14ac:dyDescent="0.2">
      <c r="A1099" t="s">
        <v>1208</v>
      </c>
      <c r="B1099" s="1">
        <v>46243</v>
      </c>
      <c r="C1099" t="s">
        <v>207</v>
      </c>
      <c r="D1099" t="s">
        <v>730</v>
      </c>
      <c r="E1099" t="s">
        <v>56</v>
      </c>
      <c r="F1099" t="s">
        <v>30</v>
      </c>
      <c r="G1099" s="2">
        <v>46243.791666666657</v>
      </c>
      <c r="H1099" s="2">
        <v>46244.291666666657</v>
      </c>
      <c r="I1099">
        <v>12</v>
      </c>
      <c r="J1099" t="s">
        <v>83</v>
      </c>
      <c r="K1099" t="s">
        <v>731</v>
      </c>
    </row>
    <row r="1100" spans="1:11" x14ac:dyDescent="0.2">
      <c r="A1100" t="s">
        <v>1209</v>
      </c>
      <c r="B1100" s="1">
        <v>46243</v>
      </c>
      <c r="C1100" t="s">
        <v>207</v>
      </c>
      <c r="D1100" t="s">
        <v>730</v>
      </c>
      <c r="E1100" t="s">
        <v>50</v>
      </c>
      <c r="F1100" t="s">
        <v>23</v>
      </c>
      <c r="G1100" s="2">
        <v>46243.291666666657</v>
      </c>
      <c r="H1100" s="2">
        <v>46243.791666666657</v>
      </c>
      <c r="I1100">
        <v>12</v>
      </c>
      <c r="J1100" t="s">
        <v>84</v>
      </c>
      <c r="K1100" t="s">
        <v>731</v>
      </c>
    </row>
    <row r="1101" spans="1:11" x14ac:dyDescent="0.2">
      <c r="A1101" t="s">
        <v>1210</v>
      </c>
      <c r="B1101" s="1">
        <v>46243</v>
      </c>
      <c r="C1101" t="s">
        <v>207</v>
      </c>
      <c r="D1101" t="s">
        <v>730</v>
      </c>
      <c r="E1101" t="s">
        <v>50</v>
      </c>
      <c r="F1101" t="s">
        <v>30</v>
      </c>
      <c r="G1101" s="2">
        <v>46243.791666666657</v>
      </c>
      <c r="H1101" s="2">
        <v>46244.291666666657</v>
      </c>
      <c r="I1101">
        <v>12</v>
      </c>
      <c r="J1101" t="s">
        <v>85</v>
      </c>
      <c r="K1101" t="s">
        <v>731</v>
      </c>
    </row>
    <row r="1102" spans="1:11" x14ac:dyDescent="0.2">
      <c r="A1102" t="s">
        <v>1211</v>
      </c>
      <c r="B1102" s="1">
        <v>46244</v>
      </c>
      <c r="C1102" t="s">
        <v>228</v>
      </c>
      <c r="D1102" t="s">
        <v>730</v>
      </c>
      <c r="E1102" t="s">
        <v>32</v>
      </c>
      <c r="F1102" t="s">
        <v>23</v>
      </c>
      <c r="G1102" s="2">
        <v>46244.291666666657</v>
      </c>
      <c r="H1102" s="2">
        <v>46244.791666666657</v>
      </c>
      <c r="I1102">
        <v>12</v>
      </c>
      <c r="J1102" t="s">
        <v>19</v>
      </c>
      <c r="K1102" t="s">
        <v>731</v>
      </c>
    </row>
    <row r="1103" spans="1:11" x14ac:dyDescent="0.2">
      <c r="A1103" t="s">
        <v>1212</v>
      </c>
      <c r="B1103" s="1">
        <v>46244</v>
      </c>
      <c r="C1103" t="s">
        <v>228</v>
      </c>
      <c r="D1103" t="s">
        <v>730</v>
      </c>
      <c r="E1103" t="s">
        <v>32</v>
      </c>
      <c r="F1103" t="s">
        <v>30</v>
      </c>
      <c r="G1103" s="2">
        <v>46244.791666666657</v>
      </c>
      <c r="H1103" s="2">
        <v>46245.291666666657</v>
      </c>
      <c r="I1103">
        <v>12</v>
      </c>
      <c r="J1103" t="s">
        <v>13</v>
      </c>
      <c r="K1103" t="s">
        <v>731</v>
      </c>
    </row>
    <row r="1104" spans="1:11" x14ac:dyDescent="0.2">
      <c r="A1104" t="s">
        <v>1213</v>
      </c>
      <c r="B1104" s="1">
        <v>46244</v>
      </c>
      <c r="C1104" t="s">
        <v>228</v>
      </c>
      <c r="D1104" t="s">
        <v>730</v>
      </c>
      <c r="E1104" t="s">
        <v>48</v>
      </c>
      <c r="F1104" t="s">
        <v>23</v>
      </c>
      <c r="G1104" s="2">
        <v>46244.291666666657</v>
      </c>
      <c r="H1104" s="2">
        <v>46244.791666666657</v>
      </c>
      <c r="I1104">
        <v>12</v>
      </c>
      <c r="J1104" t="s">
        <v>42</v>
      </c>
      <c r="K1104" t="s">
        <v>731</v>
      </c>
    </row>
    <row r="1105" spans="1:11" x14ac:dyDescent="0.2">
      <c r="A1105" t="s">
        <v>1214</v>
      </c>
      <c r="B1105" s="1">
        <v>46244</v>
      </c>
      <c r="C1105" t="s">
        <v>228</v>
      </c>
      <c r="D1105" t="s">
        <v>730</v>
      </c>
      <c r="E1105" t="s">
        <v>48</v>
      </c>
      <c r="F1105" t="s">
        <v>30</v>
      </c>
      <c r="G1105" s="2">
        <v>46244.791666666657</v>
      </c>
      <c r="H1105" s="2">
        <v>46245.291666666657</v>
      </c>
      <c r="I1105">
        <v>12</v>
      </c>
      <c r="J1105" t="s">
        <v>41</v>
      </c>
      <c r="K1105" t="s">
        <v>731</v>
      </c>
    </row>
    <row r="1106" spans="1:11" x14ac:dyDescent="0.2">
      <c r="A1106" t="s">
        <v>1215</v>
      </c>
      <c r="B1106" s="1">
        <v>46244</v>
      </c>
      <c r="C1106" t="s">
        <v>228</v>
      </c>
      <c r="D1106" t="s">
        <v>730</v>
      </c>
      <c r="E1106" t="s">
        <v>36</v>
      </c>
      <c r="F1106" t="s">
        <v>23</v>
      </c>
      <c r="G1106" s="2">
        <v>46244.291666666657</v>
      </c>
      <c r="H1106" s="2">
        <v>46244.791666666657</v>
      </c>
      <c r="I1106">
        <v>12</v>
      </c>
      <c r="J1106" t="s">
        <v>43</v>
      </c>
      <c r="K1106" t="s">
        <v>731</v>
      </c>
    </row>
    <row r="1107" spans="1:11" x14ac:dyDescent="0.2">
      <c r="A1107" t="s">
        <v>1216</v>
      </c>
      <c r="B1107" s="1">
        <v>46244</v>
      </c>
      <c r="C1107" t="s">
        <v>228</v>
      </c>
      <c r="D1107" t="s">
        <v>730</v>
      </c>
      <c r="E1107" t="s">
        <v>36</v>
      </c>
      <c r="F1107" t="s">
        <v>30</v>
      </c>
      <c r="G1107" s="2">
        <v>46244.791666666657</v>
      </c>
      <c r="H1107" s="2">
        <v>46245.291666666657</v>
      </c>
      <c r="I1107">
        <v>12</v>
      </c>
      <c r="J1107" t="s">
        <v>47</v>
      </c>
      <c r="K1107" t="s">
        <v>731</v>
      </c>
    </row>
    <row r="1108" spans="1:11" x14ac:dyDescent="0.2">
      <c r="A1108" t="s">
        <v>1217</v>
      </c>
      <c r="B1108" s="1">
        <v>46244</v>
      </c>
      <c r="C1108" t="s">
        <v>228</v>
      </c>
      <c r="D1108" t="s">
        <v>730</v>
      </c>
      <c r="E1108" t="s">
        <v>14</v>
      </c>
      <c r="F1108" t="s">
        <v>23</v>
      </c>
      <c r="G1108" s="2">
        <v>46244.291666666657</v>
      </c>
      <c r="H1108" s="2">
        <v>46244.791666666657</v>
      </c>
      <c r="I1108">
        <v>12</v>
      </c>
      <c r="J1108" t="s">
        <v>54</v>
      </c>
      <c r="K1108" t="s">
        <v>731</v>
      </c>
    </row>
    <row r="1109" spans="1:11" x14ac:dyDescent="0.2">
      <c r="A1109" t="s">
        <v>1218</v>
      </c>
      <c r="B1109" s="1">
        <v>46244</v>
      </c>
      <c r="C1109" t="s">
        <v>228</v>
      </c>
      <c r="D1109" t="s">
        <v>730</v>
      </c>
      <c r="E1109" t="s">
        <v>14</v>
      </c>
      <c r="F1109" t="s">
        <v>30</v>
      </c>
      <c r="G1109" s="2">
        <v>46244.791666666657</v>
      </c>
      <c r="H1109" s="2">
        <v>46245.291666666657</v>
      </c>
      <c r="I1109">
        <v>12</v>
      </c>
      <c r="J1109" t="s">
        <v>51</v>
      </c>
      <c r="K1109" t="s">
        <v>731</v>
      </c>
    </row>
    <row r="1110" spans="1:11" x14ac:dyDescent="0.2">
      <c r="A1110" t="s">
        <v>1219</v>
      </c>
      <c r="B1110" s="1">
        <v>46244</v>
      </c>
      <c r="C1110" t="s">
        <v>228</v>
      </c>
      <c r="D1110" t="s">
        <v>730</v>
      </c>
      <c r="E1110" t="s">
        <v>38</v>
      </c>
      <c r="F1110" t="s">
        <v>23</v>
      </c>
      <c r="G1110" s="2">
        <v>46244.291666666657</v>
      </c>
      <c r="H1110" s="2">
        <v>46244.791666666657</v>
      </c>
      <c r="I1110">
        <v>12</v>
      </c>
      <c r="J1110" t="s">
        <v>59</v>
      </c>
      <c r="K1110" t="s">
        <v>731</v>
      </c>
    </row>
    <row r="1111" spans="1:11" x14ac:dyDescent="0.2">
      <c r="A1111" t="s">
        <v>1220</v>
      </c>
      <c r="B1111" s="1">
        <v>46244</v>
      </c>
      <c r="C1111" t="s">
        <v>228</v>
      </c>
      <c r="D1111" t="s">
        <v>730</v>
      </c>
      <c r="E1111" t="s">
        <v>38</v>
      </c>
      <c r="F1111" t="s">
        <v>30</v>
      </c>
      <c r="G1111" s="2">
        <v>46244.791666666657</v>
      </c>
      <c r="H1111" s="2">
        <v>46245.291666666657</v>
      </c>
      <c r="I1111">
        <v>12</v>
      </c>
      <c r="J1111" t="s">
        <v>58</v>
      </c>
      <c r="K1111" t="s">
        <v>731</v>
      </c>
    </row>
    <row r="1112" spans="1:11" x14ac:dyDescent="0.2">
      <c r="A1112" t="s">
        <v>1221</v>
      </c>
      <c r="B1112" s="1">
        <v>46244</v>
      </c>
      <c r="C1112" t="s">
        <v>228</v>
      </c>
      <c r="D1112" t="s">
        <v>730</v>
      </c>
      <c r="E1112" t="s">
        <v>29</v>
      </c>
      <c r="F1112" t="s">
        <v>23</v>
      </c>
      <c r="G1112" s="2">
        <v>46244.291666666657</v>
      </c>
      <c r="H1112" s="2">
        <v>46244.791666666657</v>
      </c>
      <c r="I1112">
        <v>12</v>
      </c>
      <c r="J1112" t="s">
        <v>65</v>
      </c>
      <c r="K1112" t="s">
        <v>731</v>
      </c>
    </row>
    <row r="1113" spans="1:11" x14ac:dyDescent="0.2">
      <c r="A1113" t="s">
        <v>1222</v>
      </c>
      <c r="B1113" s="1">
        <v>46244</v>
      </c>
      <c r="C1113" t="s">
        <v>228</v>
      </c>
      <c r="D1113" t="s">
        <v>730</v>
      </c>
      <c r="E1113" t="s">
        <v>29</v>
      </c>
      <c r="F1113" t="s">
        <v>30</v>
      </c>
      <c r="G1113" s="2">
        <v>46244.791666666657</v>
      </c>
      <c r="H1113" s="2">
        <v>46245.291666666657</v>
      </c>
      <c r="I1113">
        <v>12</v>
      </c>
      <c r="J1113" t="s">
        <v>63</v>
      </c>
      <c r="K1113" t="s">
        <v>731</v>
      </c>
    </row>
    <row r="1114" spans="1:11" x14ac:dyDescent="0.2">
      <c r="A1114" t="s">
        <v>1223</v>
      </c>
      <c r="B1114" s="1">
        <v>46244</v>
      </c>
      <c r="C1114" t="s">
        <v>228</v>
      </c>
      <c r="D1114" t="s">
        <v>730</v>
      </c>
      <c r="E1114" t="s">
        <v>20</v>
      </c>
      <c r="F1114" t="s">
        <v>23</v>
      </c>
      <c r="G1114" s="2">
        <v>46244.291666666657</v>
      </c>
      <c r="H1114" s="2">
        <v>46244.791666666657</v>
      </c>
      <c r="I1114">
        <v>12</v>
      </c>
      <c r="J1114" t="s">
        <v>69</v>
      </c>
      <c r="K1114" t="s">
        <v>731</v>
      </c>
    </row>
    <row r="1115" spans="1:11" x14ac:dyDescent="0.2">
      <c r="A1115" t="s">
        <v>1224</v>
      </c>
      <c r="B1115" s="1">
        <v>46244</v>
      </c>
      <c r="C1115" t="s">
        <v>228</v>
      </c>
      <c r="D1115" t="s">
        <v>730</v>
      </c>
      <c r="E1115" t="s">
        <v>20</v>
      </c>
      <c r="F1115" t="s">
        <v>30</v>
      </c>
      <c r="G1115" s="2">
        <v>46244.791666666657</v>
      </c>
      <c r="H1115" s="2">
        <v>46245.291666666657</v>
      </c>
      <c r="I1115">
        <v>12</v>
      </c>
      <c r="J1115" t="s">
        <v>70</v>
      </c>
      <c r="K1115" t="s">
        <v>731</v>
      </c>
    </row>
    <row r="1116" spans="1:11" x14ac:dyDescent="0.2">
      <c r="A1116" t="s">
        <v>1225</v>
      </c>
      <c r="B1116" s="1">
        <v>46244</v>
      </c>
      <c r="C1116" t="s">
        <v>228</v>
      </c>
      <c r="D1116" t="s">
        <v>730</v>
      </c>
      <c r="E1116" t="s">
        <v>72</v>
      </c>
      <c r="F1116" t="s">
        <v>23</v>
      </c>
      <c r="G1116" s="2">
        <v>46244.291666666657</v>
      </c>
      <c r="H1116" s="2">
        <v>46244.791666666657</v>
      </c>
      <c r="I1116">
        <v>12</v>
      </c>
      <c r="J1116" t="s">
        <v>78</v>
      </c>
      <c r="K1116" t="s">
        <v>731</v>
      </c>
    </row>
    <row r="1117" spans="1:11" x14ac:dyDescent="0.2">
      <c r="A1117" t="s">
        <v>1226</v>
      </c>
      <c r="B1117" s="1">
        <v>46244</v>
      </c>
      <c r="C1117" t="s">
        <v>228</v>
      </c>
      <c r="D1117" t="s">
        <v>730</v>
      </c>
      <c r="E1117" t="s">
        <v>72</v>
      </c>
      <c r="F1117" t="s">
        <v>30</v>
      </c>
      <c r="G1117" s="2">
        <v>46244.791666666657</v>
      </c>
      <c r="H1117" s="2">
        <v>46245.291666666657</v>
      </c>
      <c r="I1117">
        <v>12</v>
      </c>
      <c r="J1117" t="s">
        <v>76</v>
      </c>
      <c r="K1117" t="s">
        <v>731</v>
      </c>
    </row>
    <row r="1118" spans="1:11" x14ac:dyDescent="0.2">
      <c r="A1118" t="s">
        <v>1227</v>
      </c>
      <c r="B1118" s="1">
        <v>46244</v>
      </c>
      <c r="C1118" t="s">
        <v>228</v>
      </c>
      <c r="D1118" t="s">
        <v>730</v>
      </c>
      <c r="E1118" t="s">
        <v>56</v>
      </c>
      <c r="F1118" t="s">
        <v>23</v>
      </c>
      <c r="G1118" s="2">
        <v>46244.291666666657</v>
      </c>
      <c r="H1118" s="2">
        <v>46244.791666666657</v>
      </c>
      <c r="I1118">
        <v>12</v>
      </c>
      <c r="J1118" t="s">
        <v>83</v>
      </c>
      <c r="K1118" t="s">
        <v>731</v>
      </c>
    </row>
    <row r="1119" spans="1:11" x14ac:dyDescent="0.2">
      <c r="A1119" t="s">
        <v>1228</v>
      </c>
      <c r="B1119" s="1">
        <v>46244</v>
      </c>
      <c r="C1119" t="s">
        <v>228</v>
      </c>
      <c r="D1119" t="s">
        <v>730</v>
      </c>
      <c r="E1119" t="s">
        <v>56</v>
      </c>
      <c r="F1119" t="s">
        <v>30</v>
      </c>
      <c r="G1119" s="2">
        <v>46244.791666666657</v>
      </c>
      <c r="H1119" s="2">
        <v>46245.291666666657</v>
      </c>
      <c r="I1119">
        <v>12</v>
      </c>
      <c r="J1119" t="s">
        <v>79</v>
      </c>
      <c r="K1119" t="s">
        <v>731</v>
      </c>
    </row>
    <row r="1120" spans="1:11" x14ac:dyDescent="0.2">
      <c r="A1120" t="s">
        <v>1229</v>
      </c>
      <c r="B1120" s="1">
        <v>46244</v>
      </c>
      <c r="C1120" t="s">
        <v>228</v>
      </c>
      <c r="D1120" t="s">
        <v>730</v>
      </c>
      <c r="E1120" t="s">
        <v>50</v>
      </c>
      <c r="F1120" t="s">
        <v>23</v>
      </c>
      <c r="G1120" s="2">
        <v>46244.291666666657</v>
      </c>
      <c r="H1120" s="2">
        <v>46244.791666666657</v>
      </c>
      <c r="I1120">
        <v>12</v>
      </c>
      <c r="J1120" t="s">
        <v>86</v>
      </c>
      <c r="K1120" t="s">
        <v>731</v>
      </c>
    </row>
    <row r="1121" spans="1:11" x14ac:dyDescent="0.2">
      <c r="A1121" t="s">
        <v>1230</v>
      </c>
      <c r="B1121" s="1">
        <v>46244</v>
      </c>
      <c r="C1121" t="s">
        <v>228</v>
      </c>
      <c r="D1121" t="s">
        <v>730</v>
      </c>
      <c r="E1121" t="s">
        <v>50</v>
      </c>
      <c r="F1121" t="s">
        <v>30</v>
      </c>
      <c r="G1121" s="2">
        <v>46244.791666666657</v>
      </c>
      <c r="H1121" s="2">
        <v>46245.291666666657</v>
      </c>
      <c r="I1121">
        <v>12</v>
      </c>
      <c r="J1121" t="s">
        <v>87</v>
      </c>
      <c r="K1121" t="s">
        <v>731</v>
      </c>
    </row>
    <row r="1122" spans="1:11" x14ac:dyDescent="0.2">
      <c r="A1122" t="s">
        <v>1231</v>
      </c>
      <c r="B1122" s="1">
        <v>46245</v>
      </c>
      <c r="C1122" t="s">
        <v>100</v>
      </c>
      <c r="D1122" t="s">
        <v>730</v>
      </c>
      <c r="E1122" t="s">
        <v>32</v>
      </c>
      <c r="F1122" t="s">
        <v>23</v>
      </c>
      <c r="G1122" s="2">
        <v>46245.291666666657</v>
      </c>
      <c r="H1122" s="2">
        <v>46245.791666666657</v>
      </c>
      <c r="I1122">
        <v>12</v>
      </c>
      <c r="J1122" t="s">
        <v>19</v>
      </c>
      <c r="K1122" t="s">
        <v>731</v>
      </c>
    </row>
    <row r="1123" spans="1:11" x14ac:dyDescent="0.2">
      <c r="A1123" t="s">
        <v>1232</v>
      </c>
      <c r="B1123" s="1">
        <v>46245</v>
      </c>
      <c r="C1123" t="s">
        <v>100</v>
      </c>
      <c r="D1123" t="s">
        <v>730</v>
      </c>
      <c r="E1123" t="s">
        <v>32</v>
      </c>
      <c r="F1123" t="s">
        <v>30</v>
      </c>
      <c r="G1123" s="2">
        <v>46245.791666666657</v>
      </c>
      <c r="H1123" s="2">
        <v>46246.291666666657</v>
      </c>
      <c r="I1123">
        <v>12</v>
      </c>
      <c r="J1123" t="s">
        <v>31</v>
      </c>
      <c r="K1123" t="s">
        <v>731</v>
      </c>
    </row>
    <row r="1124" spans="1:11" x14ac:dyDescent="0.2">
      <c r="A1124" t="s">
        <v>1233</v>
      </c>
      <c r="B1124" s="1">
        <v>46245</v>
      </c>
      <c r="C1124" t="s">
        <v>100</v>
      </c>
      <c r="D1124" t="s">
        <v>730</v>
      </c>
      <c r="E1124" t="s">
        <v>48</v>
      </c>
      <c r="F1124" t="s">
        <v>23</v>
      </c>
      <c r="G1124" s="2">
        <v>46245.291666666657</v>
      </c>
      <c r="H1124" s="2">
        <v>46245.791666666657</v>
      </c>
      <c r="I1124">
        <v>12</v>
      </c>
      <c r="J1124" t="s">
        <v>37</v>
      </c>
      <c r="K1124" t="s">
        <v>731</v>
      </c>
    </row>
    <row r="1125" spans="1:11" x14ac:dyDescent="0.2">
      <c r="A1125" t="s">
        <v>1234</v>
      </c>
      <c r="B1125" s="1">
        <v>46245</v>
      </c>
      <c r="C1125" t="s">
        <v>100</v>
      </c>
      <c r="D1125" t="s">
        <v>730</v>
      </c>
      <c r="E1125" t="s">
        <v>48</v>
      </c>
      <c r="F1125" t="s">
        <v>30</v>
      </c>
      <c r="G1125" s="2">
        <v>46245.791666666657</v>
      </c>
      <c r="H1125" s="2">
        <v>46246.291666666657</v>
      </c>
      <c r="I1125">
        <v>12</v>
      </c>
      <c r="J1125" t="s">
        <v>40</v>
      </c>
      <c r="K1125" t="s">
        <v>731</v>
      </c>
    </row>
    <row r="1126" spans="1:11" x14ac:dyDescent="0.2">
      <c r="A1126" t="s">
        <v>1235</v>
      </c>
      <c r="B1126" s="1">
        <v>46245</v>
      </c>
      <c r="C1126" t="s">
        <v>100</v>
      </c>
      <c r="D1126" t="s">
        <v>730</v>
      </c>
      <c r="E1126" t="s">
        <v>36</v>
      </c>
      <c r="F1126" t="s">
        <v>23</v>
      </c>
      <c r="G1126" s="2">
        <v>46245.291666666657</v>
      </c>
      <c r="H1126" s="2">
        <v>46245.791666666657</v>
      </c>
      <c r="I1126">
        <v>12</v>
      </c>
      <c r="J1126" t="s">
        <v>44</v>
      </c>
      <c r="K1126" t="s">
        <v>731</v>
      </c>
    </row>
    <row r="1127" spans="1:11" x14ac:dyDescent="0.2">
      <c r="A1127" t="s">
        <v>1236</v>
      </c>
      <c r="B1127" s="1">
        <v>46245</v>
      </c>
      <c r="C1127" t="s">
        <v>100</v>
      </c>
      <c r="D1127" t="s">
        <v>730</v>
      </c>
      <c r="E1127" t="s">
        <v>36</v>
      </c>
      <c r="F1127" t="s">
        <v>30</v>
      </c>
      <c r="G1127" s="2">
        <v>46245.791666666657</v>
      </c>
      <c r="H1127" s="2">
        <v>46246.291666666657</v>
      </c>
      <c r="I1127">
        <v>12</v>
      </c>
      <c r="J1127" t="s">
        <v>43</v>
      </c>
      <c r="K1127" t="s">
        <v>731</v>
      </c>
    </row>
    <row r="1128" spans="1:11" x14ac:dyDescent="0.2">
      <c r="A1128" t="s">
        <v>1237</v>
      </c>
      <c r="B1128" s="1">
        <v>46245</v>
      </c>
      <c r="C1128" t="s">
        <v>100</v>
      </c>
      <c r="D1128" t="s">
        <v>730</v>
      </c>
      <c r="E1128" t="s">
        <v>14</v>
      </c>
      <c r="F1128" t="s">
        <v>23</v>
      </c>
      <c r="G1128" s="2">
        <v>46245.291666666657</v>
      </c>
      <c r="H1128" s="2">
        <v>46245.791666666657</v>
      </c>
      <c r="I1128">
        <v>12</v>
      </c>
      <c r="J1128" t="s">
        <v>49</v>
      </c>
      <c r="K1128" t="s">
        <v>731</v>
      </c>
    </row>
    <row r="1129" spans="1:11" x14ac:dyDescent="0.2">
      <c r="A1129" t="s">
        <v>1238</v>
      </c>
      <c r="B1129" s="1">
        <v>46245</v>
      </c>
      <c r="C1129" t="s">
        <v>100</v>
      </c>
      <c r="D1129" t="s">
        <v>730</v>
      </c>
      <c r="E1129" t="s">
        <v>14</v>
      </c>
      <c r="F1129" t="s">
        <v>30</v>
      </c>
      <c r="G1129" s="2">
        <v>46245.791666666657</v>
      </c>
      <c r="H1129" s="2">
        <v>46246.291666666657</v>
      </c>
      <c r="I1129">
        <v>12</v>
      </c>
      <c r="J1129" t="s">
        <v>54</v>
      </c>
      <c r="K1129" t="s">
        <v>731</v>
      </c>
    </row>
    <row r="1130" spans="1:11" x14ac:dyDescent="0.2">
      <c r="A1130" t="s">
        <v>1239</v>
      </c>
      <c r="B1130" s="1">
        <v>46245</v>
      </c>
      <c r="C1130" t="s">
        <v>100</v>
      </c>
      <c r="D1130" t="s">
        <v>730</v>
      </c>
      <c r="E1130" t="s">
        <v>38</v>
      </c>
      <c r="F1130" t="s">
        <v>23</v>
      </c>
      <c r="G1130" s="2">
        <v>46245.291666666657</v>
      </c>
      <c r="H1130" s="2">
        <v>46245.791666666657</v>
      </c>
      <c r="I1130">
        <v>12</v>
      </c>
      <c r="J1130" t="s">
        <v>59</v>
      </c>
      <c r="K1130" t="s">
        <v>731</v>
      </c>
    </row>
    <row r="1131" spans="1:11" x14ac:dyDescent="0.2">
      <c r="A1131" t="s">
        <v>1240</v>
      </c>
      <c r="B1131" s="1">
        <v>46245</v>
      </c>
      <c r="C1131" t="s">
        <v>100</v>
      </c>
      <c r="D1131" t="s">
        <v>730</v>
      </c>
      <c r="E1131" t="s">
        <v>38</v>
      </c>
      <c r="F1131" t="s">
        <v>30</v>
      </c>
      <c r="G1131" s="2">
        <v>46245.791666666657</v>
      </c>
      <c r="H1131" s="2">
        <v>46246.291666666657</v>
      </c>
      <c r="I1131">
        <v>12</v>
      </c>
      <c r="J1131" t="s">
        <v>61</v>
      </c>
      <c r="K1131" t="s">
        <v>731</v>
      </c>
    </row>
    <row r="1132" spans="1:11" x14ac:dyDescent="0.2">
      <c r="A1132" t="s">
        <v>1241</v>
      </c>
      <c r="B1132" s="1">
        <v>46245</v>
      </c>
      <c r="C1132" t="s">
        <v>100</v>
      </c>
      <c r="D1132" t="s">
        <v>730</v>
      </c>
      <c r="E1132" t="s">
        <v>29</v>
      </c>
      <c r="F1132" t="s">
        <v>23</v>
      </c>
      <c r="G1132" s="2">
        <v>46245.291666666657</v>
      </c>
      <c r="H1132" s="2">
        <v>46245.791666666657</v>
      </c>
      <c r="I1132">
        <v>12</v>
      </c>
      <c r="J1132" t="s">
        <v>62</v>
      </c>
      <c r="K1132" t="s">
        <v>731</v>
      </c>
    </row>
    <row r="1133" spans="1:11" x14ac:dyDescent="0.2">
      <c r="A1133" t="s">
        <v>1242</v>
      </c>
      <c r="B1133" s="1">
        <v>46245</v>
      </c>
      <c r="C1133" t="s">
        <v>100</v>
      </c>
      <c r="D1133" t="s">
        <v>730</v>
      </c>
      <c r="E1133" t="s">
        <v>29</v>
      </c>
      <c r="F1133" t="s">
        <v>30</v>
      </c>
      <c r="G1133" s="2">
        <v>46245.791666666657</v>
      </c>
      <c r="H1133" s="2">
        <v>46246.291666666657</v>
      </c>
      <c r="I1133">
        <v>12</v>
      </c>
      <c r="J1133" t="s">
        <v>64</v>
      </c>
      <c r="K1133" t="s">
        <v>731</v>
      </c>
    </row>
    <row r="1134" spans="1:11" x14ac:dyDescent="0.2">
      <c r="A1134" t="s">
        <v>1243</v>
      </c>
      <c r="B1134" s="1">
        <v>46245</v>
      </c>
      <c r="C1134" t="s">
        <v>100</v>
      </c>
      <c r="D1134" t="s">
        <v>730</v>
      </c>
      <c r="E1134" t="s">
        <v>20</v>
      </c>
      <c r="F1134" t="s">
        <v>23</v>
      </c>
      <c r="G1134" s="2">
        <v>46245.291666666657</v>
      </c>
      <c r="H1134" s="2">
        <v>46245.791666666657</v>
      </c>
      <c r="I1134">
        <v>12</v>
      </c>
      <c r="J1134" t="s">
        <v>68</v>
      </c>
      <c r="K1134" t="s">
        <v>731</v>
      </c>
    </row>
    <row r="1135" spans="1:11" x14ac:dyDescent="0.2">
      <c r="A1135" t="s">
        <v>1244</v>
      </c>
      <c r="B1135" s="1">
        <v>46245</v>
      </c>
      <c r="C1135" t="s">
        <v>100</v>
      </c>
      <c r="D1135" t="s">
        <v>730</v>
      </c>
      <c r="E1135" t="s">
        <v>20</v>
      </c>
      <c r="F1135" t="s">
        <v>30</v>
      </c>
      <c r="G1135" s="2">
        <v>46245.791666666657</v>
      </c>
      <c r="H1135" s="2">
        <v>46246.291666666657</v>
      </c>
      <c r="I1135">
        <v>12</v>
      </c>
      <c r="J1135" t="s">
        <v>71</v>
      </c>
      <c r="K1135" t="s">
        <v>731</v>
      </c>
    </row>
    <row r="1136" spans="1:11" x14ac:dyDescent="0.2">
      <c r="A1136" t="s">
        <v>1245</v>
      </c>
      <c r="B1136" s="1">
        <v>46245</v>
      </c>
      <c r="C1136" t="s">
        <v>100</v>
      </c>
      <c r="D1136" t="s">
        <v>730</v>
      </c>
      <c r="E1136" t="s">
        <v>72</v>
      </c>
      <c r="F1136" t="s">
        <v>23</v>
      </c>
      <c r="G1136" s="2">
        <v>46245.291666666657</v>
      </c>
      <c r="H1136" s="2">
        <v>46245.791666666657</v>
      </c>
      <c r="I1136">
        <v>12</v>
      </c>
      <c r="J1136" t="s">
        <v>75</v>
      </c>
      <c r="K1136" t="s">
        <v>731</v>
      </c>
    </row>
    <row r="1137" spans="1:11" x14ac:dyDescent="0.2">
      <c r="A1137" t="s">
        <v>1246</v>
      </c>
      <c r="B1137" s="1">
        <v>46245</v>
      </c>
      <c r="C1137" t="s">
        <v>100</v>
      </c>
      <c r="D1137" t="s">
        <v>730</v>
      </c>
      <c r="E1137" t="s">
        <v>72</v>
      </c>
      <c r="F1137" t="s">
        <v>30</v>
      </c>
      <c r="G1137" s="2">
        <v>46245.791666666657</v>
      </c>
      <c r="H1137" s="2">
        <v>46246.291666666657</v>
      </c>
      <c r="I1137">
        <v>12</v>
      </c>
      <c r="J1137" t="s">
        <v>76</v>
      </c>
      <c r="K1137" t="s">
        <v>731</v>
      </c>
    </row>
    <row r="1138" spans="1:11" x14ac:dyDescent="0.2">
      <c r="A1138" t="s">
        <v>1247</v>
      </c>
      <c r="B1138" s="1">
        <v>46245</v>
      </c>
      <c r="C1138" t="s">
        <v>100</v>
      </c>
      <c r="D1138" t="s">
        <v>730</v>
      </c>
      <c r="E1138" t="s">
        <v>56</v>
      </c>
      <c r="F1138" t="s">
        <v>23</v>
      </c>
      <c r="G1138" s="2">
        <v>46245.291666666657</v>
      </c>
      <c r="H1138" s="2">
        <v>46245.791666666657</v>
      </c>
      <c r="I1138">
        <v>12</v>
      </c>
      <c r="J1138" t="s">
        <v>81</v>
      </c>
      <c r="K1138" t="s">
        <v>731</v>
      </c>
    </row>
    <row r="1139" spans="1:11" x14ac:dyDescent="0.2">
      <c r="A1139" t="s">
        <v>1248</v>
      </c>
      <c r="B1139" s="1">
        <v>46245</v>
      </c>
      <c r="C1139" t="s">
        <v>100</v>
      </c>
      <c r="D1139" t="s">
        <v>730</v>
      </c>
      <c r="E1139" t="s">
        <v>56</v>
      </c>
      <c r="F1139" t="s">
        <v>30</v>
      </c>
      <c r="G1139" s="2">
        <v>46245.791666666657</v>
      </c>
      <c r="H1139" s="2">
        <v>46246.291666666657</v>
      </c>
      <c r="I1139">
        <v>12</v>
      </c>
      <c r="J1139" t="s">
        <v>82</v>
      </c>
      <c r="K1139" t="s">
        <v>731</v>
      </c>
    </row>
    <row r="1140" spans="1:11" x14ac:dyDescent="0.2">
      <c r="A1140" t="s">
        <v>1249</v>
      </c>
      <c r="B1140" s="1">
        <v>46245</v>
      </c>
      <c r="C1140" t="s">
        <v>100</v>
      </c>
      <c r="D1140" t="s">
        <v>730</v>
      </c>
      <c r="E1140" t="s">
        <v>50</v>
      </c>
      <c r="F1140" t="s">
        <v>23</v>
      </c>
      <c r="G1140" s="2">
        <v>46245.291666666657</v>
      </c>
      <c r="H1140" s="2">
        <v>46245.791666666657</v>
      </c>
      <c r="I1140">
        <v>12</v>
      </c>
      <c r="J1140" t="s">
        <v>87</v>
      </c>
      <c r="K1140" t="s">
        <v>731</v>
      </c>
    </row>
    <row r="1141" spans="1:11" x14ac:dyDescent="0.2">
      <c r="A1141" t="s">
        <v>1250</v>
      </c>
      <c r="B1141" s="1">
        <v>46245</v>
      </c>
      <c r="C1141" t="s">
        <v>100</v>
      </c>
      <c r="D1141" t="s">
        <v>730</v>
      </c>
      <c r="E1141" t="s">
        <v>50</v>
      </c>
      <c r="F1141" t="s">
        <v>30</v>
      </c>
      <c r="G1141" s="2">
        <v>46245.791666666657</v>
      </c>
      <c r="H1141" s="2">
        <v>46246.291666666657</v>
      </c>
      <c r="I1141">
        <v>12</v>
      </c>
      <c r="J1141" t="s">
        <v>88</v>
      </c>
      <c r="K1141" t="s">
        <v>731</v>
      </c>
    </row>
    <row r="1142" spans="1:11" x14ac:dyDescent="0.2">
      <c r="A1142" t="s">
        <v>1251</v>
      </c>
      <c r="B1142" s="1">
        <v>46246</v>
      </c>
      <c r="C1142" t="s">
        <v>123</v>
      </c>
      <c r="D1142" t="s">
        <v>730</v>
      </c>
      <c r="E1142" t="s">
        <v>32</v>
      </c>
      <c r="F1142" t="s">
        <v>23</v>
      </c>
      <c r="G1142" s="2">
        <v>46246.291666666657</v>
      </c>
      <c r="H1142" s="2">
        <v>46246.791666666657</v>
      </c>
      <c r="I1142">
        <v>12</v>
      </c>
      <c r="J1142" t="s">
        <v>31</v>
      </c>
      <c r="K1142" t="s">
        <v>731</v>
      </c>
    </row>
    <row r="1143" spans="1:11" x14ac:dyDescent="0.2">
      <c r="A1143" t="s">
        <v>1252</v>
      </c>
      <c r="B1143" s="1">
        <v>46246</v>
      </c>
      <c r="C1143" t="s">
        <v>123</v>
      </c>
      <c r="D1143" t="s">
        <v>730</v>
      </c>
      <c r="E1143" t="s">
        <v>32</v>
      </c>
      <c r="F1143" t="s">
        <v>30</v>
      </c>
      <c r="G1143" s="2">
        <v>46246.791666666657</v>
      </c>
      <c r="H1143" s="2">
        <v>46247.291666666657</v>
      </c>
      <c r="I1143">
        <v>12</v>
      </c>
      <c r="J1143" t="s">
        <v>19</v>
      </c>
      <c r="K1143" t="s">
        <v>731</v>
      </c>
    </row>
    <row r="1144" spans="1:11" x14ac:dyDescent="0.2">
      <c r="A1144" t="s">
        <v>1253</v>
      </c>
      <c r="B1144" s="1">
        <v>46246</v>
      </c>
      <c r="C1144" t="s">
        <v>123</v>
      </c>
      <c r="D1144" t="s">
        <v>730</v>
      </c>
      <c r="E1144" t="s">
        <v>48</v>
      </c>
      <c r="F1144" t="s">
        <v>23</v>
      </c>
      <c r="G1144" s="2">
        <v>46246.291666666657</v>
      </c>
      <c r="H1144" s="2">
        <v>46246.791666666657</v>
      </c>
      <c r="I1144">
        <v>12</v>
      </c>
      <c r="J1144" t="s">
        <v>40</v>
      </c>
      <c r="K1144" t="s">
        <v>731</v>
      </c>
    </row>
    <row r="1145" spans="1:11" x14ac:dyDescent="0.2">
      <c r="A1145" t="s">
        <v>1254</v>
      </c>
      <c r="B1145" s="1">
        <v>46246</v>
      </c>
      <c r="C1145" t="s">
        <v>123</v>
      </c>
      <c r="D1145" t="s">
        <v>730</v>
      </c>
      <c r="E1145" t="s">
        <v>48</v>
      </c>
      <c r="F1145" t="s">
        <v>30</v>
      </c>
      <c r="G1145" s="2">
        <v>46246.791666666657</v>
      </c>
      <c r="H1145" s="2">
        <v>46247.291666666657</v>
      </c>
      <c r="I1145">
        <v>12</v>
      </c>
      <c r="J1145" t="s">
        <v>35</v>
      </c>
      <c r="K1145" t="s">
        <v>731</v>
      </c>
    </row>
    <row r="1146" spans="1:11" x14ac:dyDescent="0.2">
      <c r="A1146" t="s">
        <v>1255</v>
      </c>
      <c r="B1146" s="1">
        <v>46246</v>
      </c>
      <c r="C1146" t="s">
        <v>123</v>
      </c>
      <c r="D1146" t="s">
        <v>730</v>
      </c>
      <c r="E1146" t="s">
        <v>36</v>
      </c>
      <c r="F1146" t="s">
        <v>23</v>
      </c>
      <c r="G1146" s="2">
        <v>46246.291666666657</v>
      </c>
      <c r="H1146" s="2">
        <v>46246.791666666657</v>
      </c>
      <c r="I1146">
        <v>12</v>
      </c>
      <c r="J1146" t="s">
        <v>44</v>
      </c>
      <c r="K1146" t="s">
        <v>731</v>
      </c>
    </row>
    <row r="1147" spans="1:11" x14ac:dyDescent="0.2">
      <c r="A1147" t="s">
        <v>1256</v>
      </c>
      <c r="B1147" s="1">
        <v>46246</v>
      </c>
      <c r="C1147" t="s">
        <v>123</v>
      </c>
      <c r="D1147" t="s">
        <v>730</v>
      </c>
      <c r="E1147" t="s">
        <v>36</v>
      </c>
      <c r="F1147" t="s">
        <v>30</v>
      </c>
      <c r="G1147" s="2">
        <v>46246.791666666657</v>
      </c>
      <c r="H1147" s="2">
        <v>46247.291666666657</v>
      </c>
      <c r="I1147">
        <v>12</v>
      </c>
      <c r="J1147" t="s">
        <v>45</v>
      </c>
      <c r="K1147" t="s">
        <v>731</v>
      </c>
    </row>
    <row r="1148" spans="1:11" x14ac:dyDescent="0.2">
      <c r="A1148" t="s">
        <v>1257</v>
      </c>
      <c r="B1148" s="1">
        <v>46246</v>
      </c>
      <c r="C1148" t="s">
        <v>123</v>
      </c>
      <c r="D1148" t="s">
        <v>730</v>
      </c>
      <c r="E1148" t="s">
        <v>14</v>
      </c>
      <c r="F1148" t="s">
        <v>23</v>
      </c>
      <c r="G1148" s="2">
        <v>46246.291666666657</v>
      </c>
      <c r="H1148" s="2">
        <v>46246.791666666657</v>
      </c>
      <c r="I1148">
        <v>12</v>
      </c>
      <c r="J1148" t="s">
        <v>49</v>
      </c>
      <c r="K1148" t="s">
        <v>731</v>
      </c>
    </row>
    <row r="1149" spans="1:11" x14ac:dyDescent="0.2">
      <c r="A1149" t="s">
        <v>1258</v>
      </c>
      <c r="B1149" s="1">
        <v>46246</v>
      </c>
      <c r="C1149" t="s">
        <v>123</v>
      </c>
      <c r="D1149" t="s">
        <v>730</v>
      </c>
      <c r="E1149" t="s">
        <v>14</v>
      </c>
      <c r="F1149" t="s">
        <v>30</v>
      </c>
      <c r="G1149" s="2">
        <v>46246.791666666657</v>
      </c>
      <c r="H1149" s="2">
        <v>46247.291666666657</v>
      </c>
      <c r="I1149">
        <v>12</v>
      </c>
      <c r="J1149" t="s">
        <v>53</v>
      </c>
      <c r="K1149" t="s">
        <v>731</v>
      </c>
    </row>
    <row r="1150" spans="1:11" x14ac:dyDescent="0.2">
      <c r="A1150" t="s">
        <v>1259</v>
      </c>
      <c r="B1150" s="1">
        <v>46246</v>
      </c>
      <c r="C1150" t="s">
        <v>123</v>
      </c>
      <c r="D1150" t="s">
        <v>730</v>
      </c>
      <c r="E1150" t="s">
        <v>38</v>
      </c>
      <c r="F1150" t="s">
        <v>23</v>
      </c>
      <c r="G1150" s="2">
        <v>46246.291666666657</v>
      </c>
      <c r="H1150" s="2">
        <v>46246.791666666657</v>
      </c>
      <c r="I1150">
        <v>12</v>
      </c>
      <c r="J1150" t="s">
        <v>59</v>
      </c>
      <c r="K1150" t="s">
        <v>731</v>
      </c>
    </row>
    <row r="1151" spans="1:11" x14ac:dyDescent="0.2">
      <c r="A1151" t="s">
        <v>1260</v>
      </c>
      <c r="B1151" s="1">
        <v>46246</v>
      </c>
      <c r="C1151" t="s">
        <v>123</v>
      </c>
      <c r="D1151" t="s">
        <v>730</v>
      </c>
      <c r="E1151" t="s">
        <v>38</v>
      </c>
      <c r="F1151" t="s">
        <v>30</v>
      </c>
      <c r="G1151" s="2">
        <v>46246.791666666657</v>
      </c>
      <c r="H1151" s="2">
        <v>46247.291666666657</v>
      </c>
      <c r="I1151">
        <v>12</v>
      </c>
      <c r="J1151" t="s">
        <v>55</v>
      </c>
      <c r="K1151" t="s">
        <v>731</v>
      </c>
    </row>
    <row r="1152" spans="1:11" x14ac:dyDescent="0.2">
      <c r="A1152" t="s">
        <v>1261</v>
      </c>
      <c r="B1152" s="1">
        <v>46246</v>
      </c>
      <c r="C1152" t="s">
        <v>123</v>
      </c>
      <c r="D1152" t="s">
        <v>730</v>
      </c>
      <c r="E1152" t="s">
        <v>29</v>
      </c>
      <c r="F1152" t="s">
        <v>23</v>
      </c>
      <c r="G1152" s="2">
        <v>46246.291666666657</v>
      </c>
      <c r="H1152" s="2">
        <v>46246.791666666657</v>
      </c>
      <c r="I1152">
        <v>12</v>
      </c>
      <c r="J1152" t="s">
        <v>64</v>
      </c>
      <c r="K1152" t="s">
        <v>731</v>
      </c>
    </row>
    <row r="1153" spans="1:11" x14ac:dyDescent="0.2">
      <c r="A1153" t="s">
        <v>1262</v>
      </c>
      <c r="B1153" s="1">
        <v>46246</v>
      </c>
      <c r="C1153" t="s">
        <v>123</v>
      </c>
      <c r="D1153" t="s">
        <v>730</v>
      </c>
      <c r="E1153" t="s">
        <v>29</v>
      </c>
      <c r="F1153" t="s">
        <v>30</v>
      </c>
      <c r="G1153" s="2">
        <v>46246.791666666657</v>
      </c>
      <c r="H1153" s="2">
        <v>46247.291666666657</v>
      </c>
      <c r="I1153">
        <v>12</v>
      </c>
      <c r="J1153" t="s">
        <v>65</v>
      </c>
      <c r="K1153" t="s">
        <v>731</v>
      </c>
    </row>
    <row r="1154" spans="1:11" x14ac:dyDescent="0.2">
      <c r="A1154" t="s">
        <v>1263</v>
      </c>
      <c r="B1154" s="1">
        <v>46246</v>
      </c>
      <c r="C1154" t="s">
        <v>123</v>
      </c>
      <c r="D1154" t="s">
        <v>730</v>
      </c>
      <c r="E1154" t="s">
        <v>20</v>
      </c>
      <c r="F1154" t="s">
        <v>23</v>
      </c>
      <c r="G1154" s="2">
        <v>46246.291666666657</v>
      </c>
      <c r="H1154" s="2">
        <v>46246.791666666657</v>
      </c>
      <c r="I1154">
        <v>12</v>
      </c>
      <c r="J1154" t="s">
        <v>71</v>
      </c>
      <c r="K1154" t="s">
        <v>731</v>
      </c>
    </row>
    <row r="1155" spans="1:11" x14ac:dyDescent="0.2">
      <c r="A1155" t="s">
        <v>1264</v>
      </c>
      <c r="B1155" s="1">
        <v>46246</v>
      </c>
      <c r="C1155" t="s">
        <v>123</v>
      </c>
      <c r="D1155" t="s">
        <v>730</v>
      </c>
      <c r="E1155" t="s">
        <v>20</v>
      </c>
      <c r="F1155" t="s">
        <v>30</v>
      </c>
      <c r="G1155" s="2">
        <v>46246.791666666657</v>
      </c>
      <c r="H1155" s="2">
        <v>46247.291666666657</v>
      </c>
      <c r="I1155">
        <v>12</v>
      </c>
      <c r="J1155" t="s">
        <v>70</v>
      </c>
      <c r="K1155" t="s">
        <v>731</v>
      </c>
    </row>
    <row r="1156" spans="1:11" x14ac:dyDescent="0.2">
      <c r="A1156" t="s">
        <v>1265</v>
      </c>
      <c r="B1156" s="1">
        <v>46246</v>
      </c>
      <c r="C1156" t="s">
        <v>123</v>
      </c>
      <c r="D1156" t="s">
        <v>730</v>
      </c>
      <c r="E1156" t="s">
        <v>72</v>
      </c>
      <c r="F1156" t="s">
        <v>23</v>
      </c>
      <c r="G1156" s="2">
        <v>46246.291666666657</v>
      </c>
      <c r="H1156" s="2">
        <v>46246.791666666657</v>
      </c>
      <c r="I1156">
        <v>12</v>
      </c>
      <c r="J1156" t="s">
        <v>74</v>
      </c>
      <c r="K1156" t="s">
        <v>731</v>
      </c>
    </row>
    <row r="1157" spans="1:11" x14ac:dyDescent="0.2">
      <c r="A1157" t="s">
        <v>1266</v>
      </c>
      <c r="B1157" s="1">
        <v>46246</v>
      </c>
      <c r="C1157" t="s">
        <v>123</v>
      </c>
      <c r="D1157" t="s">
        <v>730</v>
      </c>
      <c r="E1157" t="s">
        <v>72</v>
      </c>
      <c r="F1157" t="s">
        <v>30</v>
      </c>
      <c r="G1157" s="2">
        <v>46246.791666666657</v>
      </c>
      <c r="H1157" s="2">
        <v>46247.291666666657</v>
      </c>
      <c r="I1157">
        <v>12</v>
      </c>
      <c r="J1157" t="s">
        <v>76</v>
      </c>
      <c r="K1157" t="s">
        <v>731</v>
      </c>
    </row>
    <row r="1158" spans="1:11" x14ac:dyDescent="0.2">
      <c r="A1158" t="s">
        <v>1267</v>
      </c>
      <c r="B1158" s="1">
        <v>46246</v>
      </c>
      <c r="C1158" t="s">
        <v>123</v>
      </c>
      <c r="D1158" t="s">
        <v>730</v>
      </c>
      <c r="E1158" t="s">
        <v>56</v>
      </c>
      <c r="F1158" t="s">
        <v>23</v>
      </c>
      <c r="G1158" s="2">
        <v>46246.291666666657</v>
      </c>
      <c r="H1158" s="2">
        <v>46246.791666666657</v>
      </c>
      <c r="I1158">
        <v>12</v>
      </c>
      <c r="J1158" t="s">
        <v>80</v>
      </c>
      <c r="K1158" t="s">
        <v>731</v>
      </c>
    </row>
    <row r="1159" spans="1:11" x14ac:dyDescent="0.2">
      <c r="A1159" t="s">
        <v>1268</v>
      </c>
      <c r="B1159" s="1">
        <v>46246</v>
      </c>
      <c r="C1159" t="s">
        <v>123</v>
      </c>
      <c r="D1159" t="s">
        <v>730</v>
      </c>
      <c r="E1159" t="s">
        <v>56</v>
      </c>
      <c r="F1159" t="s">
        <v>30</v>
      </c>
      <c r="G1159" s="2">
        <v>46246.791666666657</v>
      </c>
      <c r="H1159" s="2">
        <v>46247.291666666657</v>
      </c>
      <c r="I1159">
        <v>12</v>
      </c>
      <c r="J1159" t="s">
        <v>83</v>
      </c>
      <c r="K1159" t="s">
        <v>731</v>
      </c>
    </row>
    <row r="1160" spans="1:11" x14ac:dyDescent="0.2">
      <c r="A1160" t="s">
        <v>1269</v>
      </c>
      <c r="B1160" s="1">
        <v>46246</v>
      </c>
      <c r="C1160" t="s">
        <v>123</v>
      </c>
      <c r="D1160" t="s">
        <v>730</v>
      </c>
      <c r="E1160" t="s">
        <v>50</v>
      </c>
      <c r="F1160" t="s">
        <v>23</v>
      </c>
      <c r="G1160" s="2">
        <v>46246.291666666657</v>
      </c>
      <c r="H1160" s="2">
        <v>46246.791666666657</v>
      </c>
      <c r="I1160">
        <v>12</v>
      </c>
      <c r="J1160" t="s">
        <v>87</v>
      </c>
      <c r="K1160" t="s">
        <v>731</v>
      </c>
    </row>
    <row r="1161" spans="1:11" x14ac:dyDescent="0.2">
      <c r="A1161" t="s">
        <v>1270</v>
      </c>
      <c r="B1161" s="1">
        <v>46246</v>
      </c>
      <c r="C1161" t="s">
        <v>123</v>
      </c>
      <c r="D1161" t="s">
        <v>730</v>
      </c>
      <c r="E1161" t="s">
        <v>50</v>
      </c>
      <c r="F1161" t="s">
        <v>30</v>
      </c>
      <c r="G1161" s="2">
        <v>46246.791666666657</v>
      </c>
      <c r="H1161" s="2">
        <v>46247.291666666657</v>
      </c>
      <c r="I1161">
        <v>12</v>
      </c>
      <c r="J1161" t="s">
        <v>88</v>
      </c>
      <c r="K1161" t="s">
        <v>731</v>
      </c>
    </row>
    <row r="1162" spans="1:11" x14ac:dyDescent="0.2">
      <c r="A1162" t="s">
        <v>1271</v>
      </c>
      <c r="B1162" s="1">
        <v>46247</v>
      </c>
      <c r="C1162" t="s">
        <v>144</v>
      </c>
      <c r="D1162" t="s">
        <v>730</v>
      </c>
      <c r="E1162" t="s">
        <v>32</v>
      </c>
      <c r="F1162" t="s">
        <v>23</v>
      </c>
      <c r="G1162" s="2">
        <v>46247.291666666657</v>
      </c>
      <c r="H1162" s="2">
        <v>46247.791666666657</v>
      </c>
      <c r="I1162">
        <v>12</v>
      </c>
      <c r="J1162" t="s">
        <v>13</v>
      </c>
      <c r="K1162" t="s">
        <v>731</v>
      </c>
    </row>
    <row r="1163" spans="1:11" x14ac:dyDescent="0.2">
      <c r="A1163" t="s">
        <v>1272</v>
      </c>
      <c r="B1163" s="1">
        <v>46247</v>
      </c>
      <c r="C1163" t="s">
        <v>144</v>
      </c>
      <c r="D1163" t="s">
        <v>730</v>
      </c>
      <c r="E1163" t="s">
        <v>32</v>
      </c>
      <c r="F1163" t="s">
        <v>30</v>
      </c>
      <c r="G1163" s="2">
        <v>46247.791666666657</v>
      </c>
      <c r="H1163" s="2">
        <v>46248.291666666657</v>
      </c>
      <c r="I1163">
        <v>12</v>
      </c>
      <c r="J1163" t="s">
        <v>19</v>
      </c>
      <c r="K1163" t="s">
        <v>731</v>
      </c>
    </row>
    <row r="1164" spans="1:11" x14ac:dyDescent="0.2">
      <c r="A1164" t="s">
        <v>1273</v>
      </c>
      <c r="B1164" s="1">
        <v>46247</v>
      </c>
      <c r="C1164" t="s">
        <v>144</v>
      </c>
      <c r="D1164" t="s">
        <v>730</v>
      </c>
      <c r="E1164" t="s">
        <v>48</v>
      </c>
      <c r="F1164" t="s">
        <v>23</v>
      </c>
      <c r="G1164" s="2">
        <v>46247.291666666657</v>
      </c>
      <c r="H1164" s="2">
        <v>46247.791666666657</v>
      </c>
      <c r="I1164">
        <v>12</v>
      </c>
      <c r="J1164" t="s">
        <v>40</v>
      </c>
      <c r="K1164" t="s">
        <v>731</v>
      </c>
    </row>
    <row r="1165" spans="1:11" x14ac:dyDescent="0.2">
      <c r="A1165" t="s">
        <v>1274</v>
      </c>
      <c r="B1165" s="1">
        <v>46247</v>
      </c>
      <c r="C1165" t="s">
        <v>144</v>
      </c>
      <c r="D1165" t="s">
        <v>730</v>
      </c>
      <c r="E1165" t="s">
        <v>48</v>
      </c>
      <c r="F1165" t="s">
        <v>30</v>
      </c>
      <c r="G1165" s="2">
        <v>46247.791666666657</v>
      </c>
      <c r="H1165" s="2">
        <v>46248.291666666657</v>
      </c>
      <c r="I1165">
        <v>12</v>
      </c>
      <c r="J1165" t="s">
        <v>41</v>
      </c>
      <c r="K1165" t="s">
        <v>731</v>
      </c>
    </row>
    <row r="1166" spans="1:11" x14ac:dyDescent="0.2">
      <c r="A1166" t="s">
        <v>1275</v>
      </c>
      <c r="B1166" s="1">
        <v>46247</v>
      </c>
      <c r="C1166" t="s">
        <v>144</v>
      </c>
      <c r="D1166" t="s">
        <v>730</v>
      </c>
      <c r="E1166" t="s">
        <v>36</v>
      </c>
      <c r="F1166" t="s">
        <v>23</v>
      </c>
      <c r="G1166" s="2">
        <v>46247.291666666657</v>
      </c>
      <c r="H1166" s="2">
        <v>46247.791666666657</v>
      </c>
      <c r="I1166">
        <v>12</v>
      </c>
      <c r="J1166" t="s">
        <v>45</v>
      </c>
      <c r="K1166" t="s">
        <v>731</v>
      </c>
    </row>
    <row r="1167" spans="1:11" x14ac:dyDescent="0.2">
      <c r="A1167" t="s">
        <v>1276</v>
      </c>
      <c r="B1167" s="1">
        <v>46247</v>
      </c>
      <c r="C1167" t="s">
        <v>144</v>
      </c>
      <c r="D1167" t="s">
        <v>730</v>
      </c>
      <c r="E1167" t="s">
        <v>36</v>
      </c>
      <c r="F1167" t="s">
        <v>30</v>
      </c>
      <c r="G1167" s="2">
        <v>46247.791666666657</v>
      </c>
      <c r="H1167" s="2">
        <v>46248.291666666657</v>
      </c>
      <c r="I1167">
        <v>12</v>
      </c>
      <c r="J1167" t="s">
        <v>44</v>
      </c>
      <c r="K1167" t="s">
        <v>731</v>
      </c>
    </row>
    <row r="1168" spans="1:11" x14ac:dyDescent="0.2">
      <c r="A1168" t="s">
        <v>1277</v>
      </c>
      <c r="B1168" s="1">
        <v>46247</v>
      </c>
      <c r="C1168" t="s">
        <v>144</v>
      </c>
      <c r="D1168" t="s">
        <v>730</v>
      </c>
      <c r="E1168" t="s">
        <v>14</v>
      </c>
      <c r="F1168" t="s">
        <v>23</v>
      </c>
      <c r="G1168" s="2">
        <v>46247.291666666657</v>
      </c>
      <c r="H1168" s="2">
        <v>46247.791666666657</v>
      </c>
      <c r="I1168">
        <v>12</v>
      </c>
      <c r="J1168" t="s">
        <v>52</v>
      </c>
      <c r="K1168" t="s">
        <v>731</v>
      </c>
    </row>
    <row r="1169" spans="1:11" x14ac:dyDescent="0.2">
      <c r="A1169" t="s">
        <v>1278</v>
      </c>
      <c r="B1169" s="1">
        <v>46247</v>
      </c>
      <c r="C1169" t="s">
        <v>144</v>
      </c>
      <c r="D1169" t="s">
        <v>730</v>
      </c>
      <c r="E1169" t="s">
        <v>14</v>
      </c>
      <c r="F1169" t="s">
        <v>30</v>
      </c>
      <c r="G1169" s="2">
        <v>46247.791666666657</v>
      </c>
      <c r="H1169" s="2">
        <v>46248.291666666657</v>
      </c>
      <c r="I1169">
        <v>12</v>
      </c>
      <c r="J1169" t="s">
        <v>51</v>
      </c>
      <c r="K1169" t="s">
        <v>731</v>
      </c>
    </row>
    <row r="1170" spans="1:11" x14ac:dyDescent="0.2">
      <c r="A1170" t="s">
        <v>1279</v>
      </c>
      <c r="B1170" s="1">
        <v>46247</v>
      </c>
      <c r="C1170" t="s">
        <v>144</v>
      </c>
      <c r="D1170" t="s">
        <v>730</v>
      </c>
      <c r="E1170" t="s">
        <v>38</v>
      </c>
      <c r="F1170" t="s">
        <v>23</v>
      </c>
      <c r="G1170" s="2">
        <v>46247.291666666657</v>
      </c>
      <c r="H1170" s="2">
        <v>46247.791666666657</v>
      </c>
      <c r="I1170">
        <v>12</v>
      </c>
      <c r="J1170" t="s">
        <v>61</v>
      </c>
      <c r="K1170" t="s">
        <v>731</v>
      </c>
    </row>
    <row r="1171" spans="1:11" x14ac:dyDescent="0.2">
      <c r="A1171" t="s">
        <v>1280</v>
      </c>
      <c r="B1171" s="1">
        <v>46247</v>
      </c>
      <c r="C1171" t="s">
        <v>144</v>
      </c>
      <c r="D1171" t="s">
        <v>730</v>
      </c>
      <c r="E1171" t="s">
        <v>38</v>
      </c>
      <c r="F1171" t="s">
        <v>30</v>
      </c>
      <c r="G1171" s="2">
        <v>46247.791666666657</v>
      </c>
      <c r="H1171" s="2">
        <v>46248.291666666657</v>
      </c>
      <c r="I1171">
        <v>12</v>
      </c>
      <c r="J1171" t="s">
        <v>59</v>
      </c>
      <c r="K1171" t="s">
        <v>731</v>
      </c>
    </row>
    <row r="1172" spans="1:11" x14ac:dyDescent="0.2">
      <c r="A1172" t="s">
        <v>1281</v>
      </c>
      <c r="B1172" s="1">
        <v>46247</v>
      </c>
      <c r="C1172" t="s">
        <v>144</v>
      </c>
      <c r="D1172" t="s">
        <v>730</v>
      </c>
      <c r="E1172" t="s">
        <v>29</v>
      </c>
      <c r="F1172" t="s">
        <v>23</v>
      </c>
      <c r="G1172" s="2">
        <v>46247.291666666657</v>
      </c>
      <c r="H1172" s="2">
        <v>46247.791666666657</v>
      </c>
      <c r="I1172">
        <v>12</v>
      </c>
      <c r="J1172" t="s">
        <v>66</v>
      </c>
      <c r="K1172" t="s">
        <v>731</v>
      </c>
    </row>
    <row r="1173" spans="1:11" x14ac:dyDescent="0.2">
      <c r="A1173" t="s">
        <v>1282</v>
      </c>
      <c r="B1173" s="1">
        <v>46247</v>
      </c>
      <c r="C1173" t="s">
        <v>144</v>
      </c>
      <c r="D1173" t="s">
        <v>730</v>
      </c>
      <c r="E1173" t="s">
        <v>29</v>
      </c>
      <c r="F1173" t="s">
        <v>30</v>
      </c>
      <c r="G1173" s="2">
        <v>46247.791666666657</v>
      </c>
      <c r="H1173" s="2">
        <v>46248.291666666657</v>
      </c>
      <c r="I1173">
        <v>12</v>
      </c>
      <c r="J1173" t="s">
        <v>64</v>
      </c>
      <c r="K1173" t="s">
        <v>731</v>
      </c>
    </row>
    <row r="1174" spans="1:11" x14ac:dyDescent="0.2">
      <c r="A1174" t="s">
        <v>1283</v>
      </c>
      <c r="B1174" s="1">
        <v>46247</v>
      </c>
      <c r="C1174" t="s">
        <v>144</v>
      </c>
      <c r="D1174" t="s">
        <v>730</v>
      </c>
      <c r="E1174" t="s">
        <v>20</v>
      </c>
      <c r="F1174" t="s">
        <v>23</v>
      </c>
      <c r="G1174" s="2">
        <v>46247.291666666657</v>
      </c>
      <c r="H1174" s="2">
        <v>46247.791666666657</v>
      </c>
      <c r="I1174">
        <v>12</v>
      </c>
      <c r="J1174" t="s">
        <v>68</v>
      </c>
      <c r="K1174" t="s">
        <v>731</v>
      </c>
    </row>
    <row r="1175" spans="1:11" x14ac:dyDescent="0.2">
      <c r="A1175" t="s">
        <v>1284</v>
      </c>
      <c r="B1175" s="1">
        <v>46247</v>
      </c>
      <c r="C1175" t="s">
        <v>144</v>
      </c>
      <c r="D1175" t="s">
        <v>730</v>
      </c>
      <c r="E1175" t="s">
        <v>20</v>
      </c>
      <c r="F1175" t="s">
        <v>30</v>
      </c>
      <c r="G1175" s="2">
        <v>46247.791666666657</v>
      </c>
      <c r="H1175" s="2">
        <v>46248.291666666657</v>
      </c>
      <c r="I1175">
        <v>12</v>
      </c>
      <c r="J1175" t="s">
        <v>70</v>
      </c>
      <c r="K1175" t="s">
        <v>731</v>
      </c>
    </row>
    <row r="1176" spans="1:11" x14ac:dyDescent="0.2">
      <c r="A1176" t="s">
        <v>1285</v>
      </c>
      <c r="B1176" s="1">
        <v>46247</v>
      </c>
      <c r="C1176" t="s">
        <v>144</v>
      </c>
      <c r="D1176" t="s">
        <v>730</v>
      </c>
      <c r="E1176" t="s">
        <v>72</v>
      </c>
      <c r="F1176" t="s">
        <v>23</v>
      </c>
      <c r="G1176" s="2">
        <v>46247.291666666657</v>
      </c>
      <c r="H1176" s="2">
        <v>46247.791666666657</v>
      </c>
      <c r="I1176">
        <v>12</v>
      </c>
      <c r="J1176" t="s">
        <v>75</v>
      </c>
      <c r="K1176" t="s">
        <v>731</v>
      </c>
    </row>
    <row r="1177" spans="1:11" x14ac:dyDescent="0.2">
      <c r="A1177" t="s">
        <v>1286</v>
      </c>
      <c r="B1177" s="1">
        <v>46247</v>
      </c>
      <c r="C1177" t="s">
        <v>144</v>
      </c>
      <c r="D1177" t="s">
        <v>730</v>
      </c>
      <c r="E1177" t="s">
        <v>72</v>
      </c>
      <c r="F1177" t="s">
        <v>30</v>
      </c>
      <c r="G1177" s="2">
        <v>46247.791666666657</v>
      </c>
      <c r="H1177" s="2">
        <v>46248.291666666657</v>
      </c>
      <c r="I1177">
        <v>12</v>
      </c>
      <c r="J1177" t="s">
        <v>76</v>
      </c>
      <c r="K1177" t="s">
        <v>731</v>
      </c>
    </row>
    <row r="1178" spans="1:11" x14ac:dyDescent="0.2">
      <c r="A1178" t="s">
        <v>1287</v>
      </c>
      <c r="B1178" s="1">
        <v>46247</v>
      </c>
      <c r="C1178" t="s">
        <v>144</v>
      </c>
      <c r="D1178" t="s">
        <v>730</v>
      </c>
      <c r="E1178" t="s">
        <v>56</v>
      </c>
      <c r="F1178" t="s">
        <v>23</v>
      </c>
      <c r="G1178" s="2">
        <v>46247.291666666657</v>
      </c>
      <c r="H1178" s="2">
        <v>46247.791666666657</v>
      </c>
      <c r="I1178">
        <v>12</v>
      </c>
      <c r="J1178" t="s">
        <v>83</v>
      </c>
      <c r="K1178" t="s">
        <v>731</v>
      </c>
    </row>
    <row r="1179" spans="1:11" x14ac:dyDescent="0.2">
      <c r="A1179" t="s">
        <v>1288</v>
      </c>
      <c r="B1179" s="1">
        <v>46247</v>
      </c>
      <c r="C1179" t="s">
        <v>144</v>
      </c>
      <c r="D1179" t="s">
        <v>730</v>
      </c>
      <c r="E1179" t="s">
        <v>56</v>
      </c>
      <c r="F1179" t="s">
        <v>30</v>
      </c>
      <c r="G1179" s="2">
        <v>46247.791666666657</v>
      </c>
      <c r="H1179" s="2">
        <v>46248.291666666657</v>
      </c>
      <c r="I1179">
        <v>12</v>
      </c>
      <c r="J1179" t="s">
        <v>79</v>
      </c>
      <c r="K1179" t="s">
        <v>731</v>
      </c>
    </row>
    <row r="1180" spans="1:11" x14ac:dyDescent="0.2">
      <c r="A1180" t="s">
        <v>1289</v>
      </c>
      <c r="B1180" s="1">
        <v>46247</v>
      </c>
      <c r="C1180" t="s">
        <v>144</v>
      </c>
      <c r="D1180" t="s">
        <v>730</v>
      </c>
      <c r="E1180" t="s">
        <v>50</v>
      </c>
      <c r="F1180" t="s">
        <v>23</v>
      </c>
      <c r="G1180" s="2">
        <v>46247.291666666657</v>
      </c>
      <c r="H1180" s="2">
        <v>46247.791666666657</v>
      </c>
      <c r="I1180">
        <v>12</v>
      </c>
      <c r="J1180" t="s">
        <v>85</v>
      </c>
      <c r="K1180" t="s">
        <v>731</v>
      </c>
    </row>
    <row r="1181" spans="1:11" x14ac:dyDescent="0.2">
      <c r="A1181" t="s">
        <v>1290</v>
      </c>
      <c r="B1181" s="1">
        <v>46247</v>
      </c>
      <c r="C1181" t="s">
        <v>144</v>
      </c>
      <c r="D1181" t="s">
        <v>730</v>
      </c>
      <c r="E1181" t="s">
        <v>50</v>
      </c>
      <c r="F1181" t="s">
        <v>30</v>
      </c>
      <c r="G1181" s="2">
        <v>46247.791666666657</v>
      </c>
      <c r="H1181" s="2">
        <v>46248.291666666657</v>
      </c>
      <c r="I1181">
        <v>12</v>
      </c>
      <c r="J1181" t="s">
        <v>88</v>
      </c>
      <c r="K1181" t="s">
        <v>731</v>
      </c>
    </row>
    <row r="1182" spans="1:11" x14ac:dyDescent="0.2">
      <c r="A1182" t="s">
        <v>1291</v>
      </c>
      <c r="B1182" s="1">
        <v>46248</v>
      </c>
      <c r="C1182" t="s">
        <v>165</v>
      </c>
      <c r="D1182" t="s">
        <v>730</v>
      </c>
      <c r="E1182" t="s">
        <v>32</v>
      </c>
      <c r="F1182" t="s">
        <v>23</v>
      </c>
      <c r="G1182" s="2">
        <v>46248.291666666657</v>
      </c>
      <c r="H1182" s="2">
        <v>46248.791666666657</v>
      </c>
      <c r="I1182">
        <v>12</v>
      </c>
      <c r="J1182" t="s">
        <v>19</v>
      </c>
      <c r="K1182" t="s">
        <v>731</v>
      </c>
    </row>
    <row r="1183" spans="1:11" x14ac:dyDescent="0.2">
      <c r="A1183" t="s">
        <v>1292</v>
      </c>
      <c r="B1183" s="1">
        <v>46248</v>
      </c>
      <c r="C1183" t="s">
        <v>165</v>
      </c>
      <c r="D1183" t="s">
        <v>730</v>
      </c>
      <c r="E1183" t="s">
        <v>32</v>
      </c>
      <c r="F1183" t="s">
        <v>30</v>
      </c>
      <c r="G1183" s="2">
        <v>46248.791666666657</v>
      </c>
      <c r="H1183" s="2">
        <v>46249.291666666657</v>
      </c>
      <c r="I1183">
        <v>12</v>
      </c>
      <c r="J1183" t="s">
        <v>13</v>
      </c>
      <c r="K1183" t="s">
        <v>731</v>
      </c>
    </row>
    <row r="1184" spans="1:11" x14ac:dyDescent="0.2">
      <c r="A1184" t="s">
        <v>1293</v>
      </c>
      <c r="B1184" s="1">
        <v>46248</v>
      </c>
      <c r="C1184" t="s">
        <v>165</v>
      </c>
      <c r="D1184" t="s">
        <v>730</v>
      </c>
      <c r="E1184" t="s">
        <v>48</v>
      </c>
      <c r="F1184" t="s">
        <v>23</v>
      </c>
      <c r="G1184" s="2">
        <v>46248.291666666657</v>
      </c>
      <c r="H1184" s="2">
        <v>46248.791666666657</v>
      </c>
      <c r="I1184">
        <v>12</v>
      </c>
      <c r="J1184" t="s">
        <v>40</v>
      </c>
      <c r="K1184" t="s">
        <v>731</v>
      </c>
    </row>
    <row r="1185" spans="1:11" x14ac:dyDescent="0.2">
      <c r="A1185" t="s">
        <v>1294</v>
      </c>
      <c r="B1185" s="1">
        <v>46248</v>
      </c>
      <c r="C1185" t="s">
        <v>165</v>
      </c>
      <c r="D1185" t="s">
        <v>730</v>
      </c>
      <c r="E1185" t="s">
        <v>48</v>
      </c>
      <c r="F1185" t="s">
        <v>30</v>
      </c>
      <c r="G1185" s="2">
        <v>46248.791666666657</v>
      </c>
      <c r="H1185" s="2">
        <v>46249.291666666657</v>
      </c>
      <c r="I1185">
        <v>12</v>
      </c>
      <c r="J1185" t="s">
        <v>41</v>
      </c>
      <c r="K1185" t="s">
        <v>731</v>
      </c>
    </row>
    <row r="1186" spans="1:11" x14ac:dyDescent="0.2">
      <c r="A1186" t="s">
        <v>1295</v>
      </c>
      <c r="B1186" s="1">
        <v>46248</v>
      </c>
      <c r="C1186" t="s">
        <v>165</v>
      </c>
      <c r="D1186" t="s">
        <v>730</v>
      </c>
      <c r="E1186" t="s">
        <v>36</v>
      </c>
      <c r="F1186" t="s">
        <v>23</v>
      </c>
      <c r="G1186" s="2">
        <v>46248.291666666657</v>
      </c>
      <c r="H1186" s="2">
        <v>46248.791666666657</v>
      </c>
      <c r="I1186">
        <v>12</v>
      </c>
      <c r="J1186" t="s">
        <v>43</v>
      </c>
      <c r="K1186" t="s">
        <v>731</v>
      </c>
    </row>
    <row r="1187" spans="1:11" x14ac:dyDescent="0.2">
      <c r="A1187" t="s">
        <v>1296</v>
      </c>
      <c r="B1187" s="1">
        <v>46248</v>
      </c>
      <c r="C1187" t="s">
        <v>165</v>
      </c>
      <c r="D1187" t="s">
        <v>730</v>
      </c>
      <c r="E1187" t="s">
        <v>36</v>
      </c>
      <c r="F1187" t="s">
        <v>30</v>
      </c>
      <c r="G1187" s="2">
        <v>46248.791666666657</v>
      </c>
      <c r="H1187" s="2">
        <v>46249.291666666657</v>
      </c>
      <c r="I1187">
        <v>12</v>
      </c>
      <c r="J1187" t="s">
        <v>46</v>
      </c>
      <c r="K1187" t="s">
        <v>731</v>
      </c>
    </row>
    <row r="1188" spans="1:11" x14ac:dyDescent="0.2">
      <c r="A1188" t="s">
        <v>1297</v>
      </c>
      <c r="B1188" s="1">
        <v>46248</v>
      </c>
      <c r="C1188" t="s">
        <v>165</v>
      </c>
      <c r="D1188" t="s">
        <v>730</v>
      </c>
      <c r="E1188" t="s">
        <v>14</v>
      </c>
      <c r="F1188" t="s">
        <v>23</v>
      </c>
      <c r="G1188" s="2">
        <v>46248.291666666657</v>
      </c>
      <c r="H1188" s="2">
        <v>46248.791666666657</v>
      </c>
      <c r="I1188">
        <v>12</v>
      </c>
      <c r="J1188" t="s">
        <v>52</v>
      </c>
      <c r="K1188" t="s">
        <v>731</v>
      </c>
    </row>
    <row r="1189" spans="1:11" x14ac:dyDescent="0.2">
      <c r="A1189" t="s">
        <v>1298</v>
      </c>
      <c r="B1189" s="1">
        <v>46248</v>
      </c>
      <c r="C1189" t="s">
        <v>165</v>
      </c>
      <c r="D1189" t="s">
        <v>730</v>
      </c>
      <c r="E1189" t="s">
        <v>14</v>
      </c>
      <c r="F1189" t="s">
        <v>30</v>
      </c>
      <c r="G1189" s="2">
        <v>46248.791666666657</v>
      </c>
      <c r="H1189" s="2">
        <v>46249.291666666657</v>
      </c>
      <c r="I1189">
        <v>12</v>
      </c>
      <c r="J1189" t="s">
        <v>53</v>
      </c>
      <c r="K1189" t="s">
        <v>731</v>
      </c>
    </row>
    <row r="1190" spans="1:11" x14ac:dyDescent="0.2">
      <c r="A1190" t="s">
        <v>1299</v>
      </c>
      <c r="B1190" s="1">
        <v>46248</v>
      </c>
      <c r="C1190" t="s">
        <v>165</v>
      </c>
      <c r="D1190" t="s">
        <v>730</v>
      </c>
      <c r="E1190" t="s">
        <v>38</v>
      </c>
      <c r="F1190" t="s">
        <v>23</v>
      </c>
      <c r="G1190" s="2">
        <v>46248.291666666657</v>
      </c>
      <c r="H1190" s="2">
        <v>46248.791666666657</v>
      </c>
      <c r="I1190">
        <v>12</v>
      </c>
      <c r="J1190" t="s">
        <v>59</v>
      </c>
      <c r="K1190" t="s">
        <v>731</v>
      </c>
    </row>
    <row r="1191" spans="1:11" x14ac:dyDescent="0.2">
      <c r="A1191" t="s">
        <v>1300</v>
      </c>
      <c r="B1191" s="1">
        <v>46248</v>
      </c>
      <c r="C1191" t="s">
        <v>165</v>
      </c>
      <c r="D1191" t="s">
        <v>730</v>
      </c>
      <c r="E1191" t="s">
        <v>38</v>
      </c>
      <c r="F1191" t="s">
        <v>30</v>
      </c>
      <c r="G1191" s="2">
        <v>46248.791666666657</v>
      </c>
      <c r="H1191" s="2">
        <v>46249.291666666657</v>
      </c>
      <c r="I1191">
        <v>12</v>
      </c>
      <c r="J1191" t="s">
        <v>55</v>
      </c>
      <c r="K1191" t="s">
        <v>731</v>
      </c>
    </row>
    <row r="1192" spans="1:11" x14ac:dyDescent="0.2">
      <c r="A1192" t="s">
        <v>1301</v>
      </c>
      <c r="B1192" s="1">
        <v>46248</v>
      </c>
      <c r="C1192" t="s">
        <v>165</v>
      </c>
      <c r="D1192" t="s">
        <v>730</v>
      </c>
      <c r="E1192" t="s">
        <v>29</v>
      </c>
      <c r="F1192" t="s">
        <v>23</v>
      </c>
      <c r="G1192" s="2">
        <v>46248.291666666657</v>
      </c>
      <c r="H1192" s="2">
        <v>46248.791666666657</v>
      </c>
      <c r="I1192">
        <v>12</v>
      </c>
      <c r="J1192" t="s">
        <v>65</v>
      </c>
      <c r="K1192" t="s">
        <v>731</v>
      </c>
    </row>
    <row r="1193" spans="1:11" x14ac:dyDescent="0.2">
      <c r="A1193" t="s">
        <v>1302</v>
      </c>
      <c r="B1193" s="1">
        <v>46248</v>
      </c>
      <c r="C1193" t="s">
        <v>165</v>
      </c>
      <c r="D1193" t="s">
        <v>730</v>
      </c>
      <c r="E1193" t="s">
        <v>29</v>
      </c>
      <c r="F1193" t="s">
        <v>30</v>
      </c>
      <c r="G1193" s="2">
        <v>46248.791666666657</v>
      </c>
      <c r="H1193" s="2">
        <v>46249.291666666657</v>
      </c>
      <c r="I1193">
        <v>12</v>
      </c>
      <c r="J1193" t="s">
        <v>66</v>
      </c>
      <c r="K1193" t="s">
        <v>731</v>
      </c>
    </row>
    <row r="1194" spans="1:11" x14ac:dyDescent="0.2">
      <c r="A1194" t="s">
        <v>1303</v>
      </c>
      <c r="B1194" s="1">
        <v>46248</v>
      </c>
      <c r="C1194" t="s">
        <v>165</v>
      </c>
      <c r="D1194" t="s">
        <v>730</v>
      </c>
      <c r="E1194" t="s">
        <v>20</v>
      </c>
      <c r="F1194" t="s">
        <v>23</v>
      </c>
      <c r="G1194" s="2">
        <v>46248.291666666657</v>
      </c>
      <c r="H1194" s="2">
        <v>46248.791666666657</v>
      </c>
      <c r="I1194">
        <v>12</v>
      </c>
      <c r="J1194" t="s">
        <v>71</v>
      </c>
      <c r="K1194" t="s">
        <v>731</v>
      </c>
    </row>
    <row r="1195" spans="1:11" x14ac:dyDescent="0.2">
      <c r="A1195" t="s">
        <v>1304</v>
      </c>
      <c r="B1195" s="1">
        <v>46248</v>
      </c>
      <c r="C1195" t="s">
        <v>165</v>
      </c>
      <c r="D1195" t="s">
        <v>730</v>
      </c>
      <c r="E1195" t="s">
        <v>20</v>
      </c>
      <c r="F1195" t="s">
        <v>30</v>
      </c>
      <c r="G1195" s="2">
        <v>46248.791666666657</v>
      </c>
      <c r="H1195" s="2">
        <v>46249.291666666657</v>
      </c>
      <c r="I1195">
        <v>12</v>
      </c>
      <c r="J1195" t="s">
        <v>68</v>
      </c>
      <c r="K1195" t="s">
        <v>731</v>
      </c>
    </row>
    <row r="1196" spans="1:11" x14ac:dyDescent="0.2">
      <c r="A1196" t="s">
        <v>1305</v>
      </c>
      <c r="B1196" s="1">
        <v>46248</v>
      </c>
      <c r="C1196" t="s">
        <v>165</v>
      </c>
      <c r="D1196" t="s">
        <v>730</v>
      </c>
      <c r="E1196" t="s">
        <v>72</v>
      </c>
      <c r="F1196" t="s">
        <v>23</v>
      </c>
      <c r="G1196" s="2">
        <v>46248.291666666657</v>
      </c>
      <c r="H1196" s="2">
        <v>46248.791666666657</v>
      </c>
      <c r="I1196">
        <v>12</v>
      </c>
      <c r="J1196" t="s">
        <v>78</v>
      </c>
      <c r="K1196" t="s">
        <v>731</v>
      </c>
    </row>
    <row r="1197" spans="1:11" x14ac:dyDescent="0.2">
      <c r="A1197" t="s">
        <v>1306</v>
      </c>
      <c r="B1197" s="1">
        <v>46248</v>
      </c>
      <c r="C1197" t="s">
        <v>165</v>
      </c>
      <c r="D1197" t="s">
        <v>730</v>
      </c>
      <c r="E1197" t="s">
        <v>72</v>
      </c>
      <c r="F1197" t="s">
        <v>30</v>
      </c>
      <c r="G1197" s="2">
        <v>46248.791666666657</v>
      </c>
      <c r="H1197" s="2">
        <v>46249.291666666657</v>
      </c>
      <c r="I1197">
        <v>12</v>
      </c>
      <c r="J1197" t="s">
        <v>76</v>
      </c>
      <c r="K1197" t="s">
        <v>731</v>
      </c>
    </row>
    <row r="1198" spans="1:11" x14ac:dyDescent="0.2">
      <c r="A1198" t="s">
        <v>1307</v>
      </c>
      <c r="B1198" s="1">
        <v>46248</v>
      </c>
      <c r="C1198" t="s">
        <v>165</v>
      </c>
      <c r="D1198" t="s">
        <v>730</v>
      </c>
      <c r="E1198" t="s">
        <v>56</v>
      </c>
      <c r="F1198" t="s">
        <v>23</v>
      </c>
      <c r="G1198" s="2">
        <v>46248.291666666657</v>
      </c>
      <c r="H1198" s="2">
        <v>46248.791666666657</v>
      </c>
      <c r="I1198">
        <v>12</v>
      </c>
      <c r="J1198" t="s">
        <v>80</v>
      </c>
      <c r="K1198" t="s">
        <v>731</v>
      </c>
    </row>
    <row r="1199" spans="1:11" x14ac:dyDescent="0.2">
      <c r="A1199" t="s">
        <v>1308</v>
      </c>
      <c r="B1199" s="1">
        <v>46248</v>
      </c>
      <c r="C1199" t="s">
        <v>165</v>
      </c>
      <c r="D1199" t="s">
        <v>730</v>
      </c>
      <c r="E1199" t="s">
        <v>56</v>
      </c>
      <c r="F1199" t="s">
        <v>30</v>
      </c>
      <c r="G1199" s="2">
        <v>46248.791666666657</v>
      </c>
      <c r="H1199" s="2">
        <v>46249.291666666657</v>
      </c>
      <c r="I1199">
        <v>12</v>
      </c>
      <c r="J1199" t="s">
        <v>83</v>
      </c>
      <c r="K1199" t="s">
        <v>731</v>
      </c>
    </row>
    <row r="1200" spans="1:11" x14ac:dyDescent="0.2">
      <c r="A1200" t="s">
        <v>1309</v>
      </c>
      <c r="B1200" s="1">
        <v>46248</v>
      </c>
      <c r="C1200" t="s">
        <v>165</v>
      </c>
      <c r="D1200" t="s">
        <v>730</v>
      </c>
      <c r="E1200" t="s">
        <v>50</v>
      </c>
      <c r="F1200" t="s">
        <v>23</v>
      </c>
      <c r="G1200" s="2">
        <v>46248.291666666657</v>
      </c>
      <c r="H1200" s="2">
        <v>46248.791666666657</v>
      </c>
      <c r="I1200">
        <v>12</v>
      </c>
      <c r="J1200" t="s">
        <v>85</v>
      </c>
      <c r="K1200" t="s">
        <v>731</v>
      </c>
    </row>
    <row r="1201" spans="1:11" x14ac:dyDescent="0.2">
      <c r="A1201" t="s">
        <v>1310</v>
      </c>
      <c r="B1201" s="1">
        <v>46248</v>
      </c>
      <c r="C1201" t="s">
        <v>165</v>
      </c>
      <c r="D1201" t="s">
        <v>730</v>
      </c>
      <c r="E1201" t="s">
        <v>50</v>
      </c>
      <c r="F1201" t="s">
        <v>30</v>
      </c>
      <c r="G1201" s="2">
        <v>46248.791666666657</v>
      </c>
      <c r="H1201" s="2">
        <v>46249.291666666657</v>
      </c>
      <c r="I1201">
        <v>12</v>
      </c>
      <c r="J1201" t="s">
        <v>88</v>
      </c>
      <c r="K1201" t="s">
        <v>731</v>
      </c>
    </row>
    <row r="1202" spans="1:11" x14ac:dyDescent="0.2">
      <c r="A1202" t="s">
        <v>1311</v>
      </c>
      <c r="B1202" s="1">
        <v>46249</v>
      </c>
      <c r="C1202" t="s">
        <v>186</v>
      </c>
      <c r="D1202" t="s">
        <v>730</v>
      </c>
      <c r="E1202" t="s">
        <v>32</v>
      </c>
      <c r="F1202" t="s">
        <v>23</v>
      </c>
      <c r="G1202" s="2">
        <v>46249.291666666657</v>
      </c>
      <c r="H1202" s="2">
        <v>46249.791666666657</v>
      </c>
      <c r="I1202">
        <v>12</v>
      </c>
      <c r="J1202" t="s">
        <v>13</v>
      </c>
      <c r="K1202" t="s">
        <v>731</v>
      </c>
    </row>
    <row r="1203" spans="1:11" x14ac:dyDescent="0.2">
      <c r="A1203" t="s">
        <v>1312</v>
      </c>
      <c r="B1203" s="1">
        <v>46249</v>
      </c>
      <c r="C1203" t="s">
        <v>186</v>
      </c>
      <c r="D1203" t="s">
        <v>730</v>
      </c>
      <c r="E1203" t="s">
        <v>32</v>
      </c>
      <c r="F1203" t="s">
        <v>30</v>
      </c>
      <c r="G1203" s="2">
        <v>46249.791666666657</v>
      </c>
      <c r="H1203" s="2">
        <v>46250.291666666657</v>
      </c>
      <c r="I1203">
        <v>12</v>
      </c>
      <c r="J1203" t="s">
        <v>31</v>
      </c>
      <c r="K1203" t="s">
        <v>731</v>
      </c>
    </row>
    <row r="1204" spans="1:11" x14ac:dyDescent="0.2">
      <c r="A1204" t="s">
        <v>1313</v>
      </c>
      <c r="B1204" s="1">
        <v>46249</v>
      </c>
      <c r="C1204" t="s">
        <v>186</v>
      </c>
      <c r="D1204" t="s">
        <v>730</v>
      </c>
      <c r="E1204" t="s">
        <v>48</v>
      </c>
      <c r="F1204" t="s">
        <v>23</v>
      </c>
      <c r="G1204" s="2">
        <v>46249.291666666657</v>
      </c>
      <c r="H1204" s="2">
        <v>46249.791666666657</v>
      </c>
      <c r="I1204">
        <v>12</v>
      </c>
      <c r="J1204" t="s">
        <v>35</v>
      </c>
      <c r="K1204" t="s">
        <v>731</v>
      </c>
    </row>
    <row r="1205" spans="1:11" x14ac:dyDescent="0.2">
      <c r="A1205" t="s">
        <v>1314</v>
      </c>
      <c r="B1205" s="1">
        <v>46249</v>
      </c>
      <c r="C1205" t="s">
        <v>186</v>
      </c>
      <c r="D1205" t="s">
        <v>730</v>
      </c>
      <c r="E1205" t="s">
        <v>48</v>
      </c>
      <c r="F1205" t="s">
        <v>30</v>
      </c>
      <c r="G1205" s="2">
        <v>46249.791666666657</v>
      </c>
      <c r="H1205" s="2">
        <v>46250.291666666657</v>
      </c>
      <c r="I1205">
        <v>12</v>
      </c>
      <c r="J1205" t="s">
        <v>37</v>
      </c>
      <c r="K1205" t="s">
        <v>731</v>
      </c>
    </row>
    <row r="1206" spans="1:11" x14ac:dyDescent="0.2">
      <c r="A1206" t="s">
        <v>1315</v>
      </c>
      <c r="B1206" s="1">
        <v>46249</v>
      </c>
      <c r="C1206" t="s">
        <v>186</v>
      </c>
      <c r="D1206" t="s">
        <v>730</v>
      </c>
      <c r="E1206" t="s">
        <v>36</v>
      </c>
      <c r="F1206" t="s">
        <v>23</v>
      </c>
      <c r="G1206" s="2">
        <v>46249.291666666657</v>
      </c>
      <c r="H1206" s="2">
        <v>46249.791666666657</v>
      </c>
      <c r="I1206">
        <v>12</v>
      </c>
      <c r="J1206" t="s">
        <v>45</v>
      </c>
      <c r="K1206" t="s">
        <v>731</v>
      </c>
    </row>
    <row r="1207" spans="1:11" x14ac:dyDescent="0.2">
      <c r="A1207" t="s">
        <v>1316</v>
      </c>
      <c r="B1207" s="1">
        <v>46249</v>
      </c>
      <c r="C1207" t="s">
        <v>186</v>
      </c>
      <c r="D1207" t="s">
        <v>730</v>
      </c>
      <c r="E1207" t="s">
        <v>36</v>
      </c>
      <c r="F1207" t="s">
        <v>30</v>
      </c>
      <c r="G1207" s="2">
        <v>46249.791666666657</v>
      </c>
      <c r="H1207" s="2">
        <v>46250.291666666657</v>
      </c>
      <c r="I1207">
        <v>12</v>
      </c>
      <c r="J1207" t="s">
        <v>47</v>
      </c>
      <c r="K1207" t="s">
        <v>731</v>
      </c>
    </row>
    <row r="1208" spans="1:11" x14ac:dyDescent="0.2">
      <c r="A1208" t="s">
        <v>1317</v>
      </c>
      <c r="B1208" s="1">
        <v>46249</v>
      </c>
      <c r="C1208" t="s">
        <v>186</v>
      </c>
      <c r="D1208" t="s">
        <v>730</v>
      </c>
      <c r="E1208" t="s">
        <v>14</v>
      </c>
      <c r="F1208" t="s">
        <v>23</v>
      </c>
      <c r="G1208" s="2">
        <v>46249.291666666657</v>
      </c>
      <c r="H1208" s="2">
        <v>46249.791666666657</v>
      </c>
      <c r="I1208">
        <v>12</v>
      </c>
      <c r="J1208" t="s">
        <v>53</v>
      </c>
      <c r="K1208" t="s">
        <v>731</v>
      </c>
    </row>
    <row r="1209" spans="1:11" x14ac:dyDescent="0.2">
      <c r="A1209" t="s">
        <v>1318</v>
      </c>
      <c r="B1209" s="1">
        <v>46249</v>
      </c>
      <c r="C1209" t="s">
        <v>186</v>
      </c>
      <c r="D1209" t="s">
        <v>730</v>
      </c>
      <c r="E1209" t="s">
        <v>14</v>
      </c>
      <c r="F1209" t="s">
        <v>30</v>
      </c>
      <c r="G1209" s="2">
        <v>46249.791666666657</v>
      </c>
      <c r="H1209" s="2">
        <v>46250.291666666657</v>
      </c>
      <c r="I1209">
        <v>12</v>
      </c>
      <c r="J1209" t="s">
        <v>49</v>
      </c>
      <c r="K1209" t="s">
        <v>731</v>
      </c>
    </row>
    <row r="1210" spans="1:11" x14ac:dyDescent="0.2">
      <c r="A1210" t="s">
        <v>1319</v>
      </c>
      <c r="B1210" s="1">
        <v>46249</v>
      </c>
      <c r="C1210" t="s">
        <v>186</v>
      </c>
      <c r="D1210" t="s">
        <v>730</v>
      </c>
      <c r="E1210" t="s">
        <v>38</v>
      </c>
      <c r="F1210" t="s">
        <v>23</v>
      </c>
      <c r="G1210" s="2">
        <v>46249.291666666657</v>
      </c>
      <c r="H1210" s="2">
        <v>46249.791666666657</v>
      </c>
      <c r="I1210">
        <v>12</v>
      </c>
      <c r="J1210" t="s">
        <v>55</v>
      </c>
      <c r="K1210" t="s">
        <v>731</v>
      </c>
    </row>
    <row r="1211" spans="1:11" x14ac:dyDescent="0.2">
      <c r="A1211" t="s">
        <v>1320</v>
      </c>
      <c r="B1211" s="1">
        <v>46249</v>
      </c>
      <c r="C1211" t="s">
        <v>186</v>
      </c>
      <c r="D1211" t="s">
        <v>730</v>
      </c>
      <c r="E1211" t="s">
        <v>38</v>
      </c>
      <c r="F1211" t="s">
        <v>30</v>
      </c>
      <c r="G1211" s="2">
        <v>46249.791666666657</v>
      </c>
      <c r="H1211" s="2">
        <v>46250.291666666657</v>
      </c>
      <c r="I1211">
        <v>12</v>
      </c>
      <c r="J1211" t="s">
        <v>59</v>
      </c>
      <c r="K1211" t="s">
        <v>731</v>
      </c>
    </row>
    <row r="1212" spans="1:11" x14ac:dyDescent="0.2">
      <c r="A1212" t="s">
        <v>1321</v>
      </c>
      <c r="B1212" s="1">
        <v>46249</v>
      </c>
      <c r="C1212" t="s">
        <v>186</v>
      </c>
      <c r="D1212" t="s">
        <v>730</v>
      </c>
      <c r="E1212" t="s">
        <v>29</v>
      </c>
      <c r="F1212" t="s">
        <v>23</v>
      </c>
      <c r="G1212" s="2">
        <v>46249.291666666657</v>
      </c>
      <c r="H1212" s="2">
        <v>46249.791666666657</v>
      </c>
      <c r="I1212">
        <v>12</v>
      </c>
      <c r="J1212" t="s">
        <v>64</v>
      </c>
      <c r="K1212" t="s">
        <v>731</v>
      </c>
    </row>
    <row r="1213" spans="1:11" x14ac:dyDescent="0.2">
      <c r="A1213" t="s">
        <v>1322</v>
      </c>
      <c r="B1213" s="1">
        <v>46249</v>
      </c>
      <c r="C1213" t="s">
        <v>186</v>
      </c>
      <c r="D1213" t="s">
        <v>730</v>
      </c>
      <c r="E1213" t="s">
        <v>29</v>
      </c>
      <c r="F1213" t="s">
        <v>30</v>
      </c>
      <c r="G1213" s="2">
        <v>46249.791666666657</v>
      </c>
      <c r="H1213" s="2">
        <v>46250.291666666657</v>
      </c>
      <c r="I1213">
        <v>12</v>
      </c>
      <c r="J1213" t="s">
        <v>63</v>
      </c>
      <c r="K1213" t="s">
        <v>731</v>
      </c>
    </row>
    <row r="1214" spans="1:11" x14ac:dyDescent="0.2">
      <c r="A1214" t="s">
        <v>1323</v>
      </c>
      <c r="B1214" s="1">
        <v>46249</v>
      </c>
      <c r="C1214" t="s">
        <v>186</v>
      </c>
      <c r="D1214" t="s">
        <v>730</v>
      </c>
      <c r="E1214" t="s">
        <v>20</v>
      </c>
      <c r="F1214" t="s">
        <v>23</v>
      </c>
      <c r="G1214" s="2">
        <v>46249.291666666657</v>
      </c>
      <c r="H1214" s="2">
        <v>46249.791666666657</v>
      </c>
      <c r="I1214">
        <v>12</v>
      </c>
      <c r="J1214" t="s">
        <v>70</v>
      </c>
      <c r="K1214" t="s">
        <v>731</v>
      </c>
    </row>
    <row r="1215" spans="1:11" x14ac:dyDescent="0.2">
      <c r="A1215" t="s">
        <v>1324</v>
      </c>
      <c r="B1215" s="1">
        <v>46249</v>
      </c>
      <c r="C1215" t="s">
        <v>186</v>
      </c>
      <c r="D1215" t="s">
        <v>730</v>
      </c>
      <c r="E1215" t="s">
        <v>20</v>
      </c>
      <c r="F1215" t="s">
        <v>30</v>
      </c>
      <c r="G1215" s="2">
        <v>46249.791666666657</v>
      </c>
      <c r="H1215" s="2">
        <v>46250.291666666657</v>
      </c>
      <c r="I1215">
        <v>12</v>
      </c>
      <c r="J1215" t="s">
        <v>67</v>
      </c>
      <c r="K1215" t="s">
        <v>731</v>
      </c>
    </row>
    <row r="1216" spans="1:11" x14ac:dyDescent="0.2">
      <c r="A1216" t="s">
        <v>1325</v>
      </c>
      <c r="B1216" s="1">
        <v>46249</v>
      </c>
      <c r="C1216" t="s">
        <v>186</v>
      </c>
      <c r="D1216" t="s">
        <v>730</v>
      </c>
      <c r="E1216" t="s">
        <v>72</v>
      </c>
      <c r="F1216" t="s">
        <v>23</v>
      </c>
      <c r="G1216" s="2">
        <v>46249.291666666657</v>
      </c>
      <c r="H1216" s="2">
        <v>46249.791666666657</v>
      </c>
      <c r="I1216">
        <v>12</v>
      </c>
      <c r="J1216" t="s">
        <v>74</v>
      </c>
      <c r="K1216" t="s">
        <v>731</v>
      </c>
    </row>
    <row r="1217" spans="1:11" x14ac:dyDescent="0.2">
      <c r="A1217" t="s">
        <v>1326</v>
      </c>
      <c r="B1217" s="1">
        <v>46249</v>
      </c>
      <c r="C1217" t="s">
        <v>186</v>
      </c>
      <c r="D1217" t="s">
        <v>730</v>
      </c>
      <c r="E1217" t="s">
        <v>72</v>
      </c>
      <c r="F1217" t="s">
        <v>30</v>
      </c>
      <c r="G1217" s="2">
        <v>46249.791666666657</v>
      </c>
      <c r="H1217" s="2">
        <v>46250.291666666657</v>
      </c>
      <c r="I1217">
        <v>12</v>
      </c>
      <c r="J1217" t="s">
        <v>78</v>
      </c>
      <c r="K1217" t="s">
        <v>731</v>
      </c>
    </row>
    <row r="1218" spans="1:11" x14ac:dyDescent="0.2">
      <c r="A1218" t="s">
        <v>1327</v>
      </c>
      <c r="B1218" s="1">
        <v>46249</v>
      </c>
      <c r="C1218" t="s">
        <v>186</v>
      </c>
      <c r="D1218" t="s">
        <v>730</v>
      </c>
      <c r="E1218" t="s">
        <v>56</v>
      </c>
      <c r="F1218" t="s">
        <v>23</v>
      </c>
      <c r="G1218" s="2">
        <v>46249.291666666657</v>
      </c>
      <c r="H1218" s="2">
        <v>46249.791666666657</v>
      </c>
      <c r="I1218">
        <v>12</v>
      </c>
      <c r="J1218" t="s">
        <v>83</v>
      </c>
      <c r="K1218" t="s">
        <v>731</v>
      </c>
    </row>
    <row r="1219" spans="1:11" x14ac:dyDescent="0.2">
      <c r="A1219" t="s">
        <v>1328</v>
      </c>
      <c r="B1219" s="1">
        <v>46249</v>
      </c>
      <c r="C1219" t="s">
        <v>186</v>
      </c>
      <c r="D1219" t="s">
        <v>730</v>
      </c>
      <c r="E1219" t="s">
        <v>56</v>
      </c>
      <c r="F1219" t="s">
        <v>30</v>
      </c>
      <c r="G1219" s="2">
        <v>46249.791666666657</v>
      </c>
      <c r="H1219" s="2">
        <v>46250.291666666657</v>
      </c>
      <c r="I1219">
        <v>12</v>
      </c>
      <c r="J1219" t="s">
        <v>80</v>
      </c>
      <c r="K1219" t="s">
        <v>731</v>
      </c>
    </row>
    <row r="1220" spans="1:11" x14ac:dyDescent="0.2">
      <c r="A1220" t="s">
        <v>1329</v>
      </c>
      <c r="B1220" s="1">
        <v>46249</v>
      </c>
      <c r="C1220" t="s">
        <v>186</v>
      </c>
      <c r="D1220" t="s">
        <v>730</v>
      </c>
      <c r="E1220" t="s">
        <v>50</v>
      </c>
      <c r="F1220" t="s">
        <v>23</v>
      </c>
      <c r="G1220" s="2">
        <v>46249.291666666657</v>
      </c>
      <c r="H1220" s="2">
        <v>46249.791666666657</v>
      </c>
      <c r="I1220">
        <v>12</v>
      </c>
      <c r="J1220" t="s">
        <v>85</v>
      </c>
      <c r="K1220" t="s">
        <v>731</v>
      </c>
    </row>
    <row r="1221" spans="1:11" x14ac:dyDescent="0.2">
      <c r="A1221" t="s">
        <v>1330</v>
      </c>
      <c r="B1221" s="1">
        <v>46249</v>
      </c>
      <c r="C1221" t="s">
        <v>186</v>
      </c>
      <c r="D1221" t="s">
        <v>730</v>
      </c>
      <c r="E1221" t="s">
        <v>50</v>
      </c>
      <c r="F1221" t="s">
        <v>30</v>
      </c>
      <c r="G1221" s="2">
        <v>46249.791666666657</v>
      </c>
      <c r="H1221" s="2">
        <v>46250.291666666657</v>
      </c>
      <c r="I1221">
        <v>12</v>
      </c>
      <c r="J1221" t="s">
        <v>86</v>
      </c>
      <c r="K1221" t="s">
        <v>731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7D490-F533-B94C-82D3-81DEA52D3005}">
  <dimension ref="B2:H20"/>
  <sheetViews>
    <sheetView workbookViewId="0">
      <selection activeCell="C4" sqref="C4"/>
    </sheetView>
  </sheetViews>
  <sheetFormatPr baseColWidth="10" defaultRowHeight="15" x14ac:dyDescent="0.2"/>
  <cols>
    <col min="2" max="2" width="22.5" bestFit="1" customWidth="1"/>
    <col min="3" max="3" width="19.33203125" customWidth="1"/>
  </cols>
  <sheetData>
    <row r="2" spans="2:8" ht="24" x14ac:dyDescent="0.3">
      <c r="B2" s="9" t="s">
        <v>1331</v>
      </c>
      <c r="C2" s="9"/>
      <c r="D2" s="9"/>
      <c r="E2" s="9"/>
      <c r="F2" s="9"/>
      <c r="G2" s="9"/>
      <c r="H2" s="9"/>
    </row>
    <row r="4" spans="2:8" x14ac:dyDescent="0.2">
      <c r="B4" s="3" t="s">
        <v>90</v>
      </c>
      <c r="C4" s="6">
        <v>46200</v>
      </c>
    </row>
    <row r="5" spans="2:8" x14ac:dyDescent="0.2">
      <c r="B5" s="3" t="s">
        <v>93</v>
      </c>
      <c r="C5" t="s">
        <v>29</v>
      </c>
    </row>
    <row r="6" spans="2:8" x14ac:dyDescent="0.2">
      <c r="B6" s="3" t="s">
        <v>94</v>
      </c>
      <c r="C6" t="s">
        <v>30</v>
      </c>
    </row>
    <row r="7" spans="2:8" x14ac:dyDescent="0.2">
      <c r="B7" s="4"/>
    </row>
    <row r="8" spans="2:8" x14ac:dyDescent="0.2">
      <c r="B8" s="4"/>
    </row>
    <row r="9" spans="2:8" x14ac:dyDescent="0.2">
      <c r="B9" s="3" t="s">
        <v>0</v>
      </c>
      <c r="C9" t="str" cm="1">
        <f t="array" ref="C9">_xlfn.XLOOKUP($C$4&amp;$C$5&amp;$C$6,tblSchedule[Date]&amp;tblSchedule[Department]&amp;tblSchedule[Shift],tblSchedule[Provider ID],"No Matching Assignment Foiund")</f>
        <v>DR029</v>
      </c>
    </row>
    <row r="10" spans="2:8" x14ac:dyDescent="0.2">
      <c r="B10" s="3" t="s">
        <v>1</v>
      </c>
      <c r="C10" t="str">
        <f>_xlfn.XLOOKUP($C$9,tblProviders[Provider ID],tblProviders[Provider Name],"NO PROVIDER FOUND")</f>
        <v>Dr. Jordan Porter</v>
      </c>
    </row>
    <row r="11" spans="2:8" x14ac:dyDescent="0.2">
      <c r="B11" s="3" t="s">
        <v>1334</v>
      </c>
      <c r="C11" t="str">
        <f>_xlfn.XLOOKUP($C$9,tblProviders[Provider ID],tblProviders[Provider Level],"")</f>
        <v>Fellow</v>
      </c>
    </row>
    <row r="12" spans="2:8" x14ac:dyDescent="0.2">
      <c r="B12" s="3" t="s">
        <v>3</v>
      </c>
      <c r="C12" t="str">
        <f>_xlfn.XLOOKUP($C$9,tblProviders[Provider ID],tblProviders[Specialty],"")</f>
        <v>General Surgery</v>
      </c>
    </row>
    <row r="13" spans="2:8" x14ac:dyDescent="0.2">
      <c r="B13" s="3" t="s">
        <v>10</v>
      </c>
      <c r="C13" s="8" t="str">
        <f>_xlfn.XLOOKUP($C$9,tblProviders[Provider ID],tblProviders[Phone Number],"")</f>
        <v>001-846-427-3838</v>
      </c>
    </row>
    <row r="14" spans="2:8" x14ac:dyDescent="0.2">
      <c r="B14" s="3" t="s">
        <v>11</v>
      </c>
      <c r="C14">
        <f>_xlfn.XLOOKUP($C$9,tblProviders[Provider ID],tblProviders[Extension],"")</f>
        <v>9120</v>
      </c>
    </row>
    <row r="15" spans="2:8" x14ac:dyDescent="0.2">
      <c r="B15" s="3" t="s">
        <v>1332</v>
      </c>
      <c r="C15" s="7" cm="1">
        <f t="array" ref="C15">_xlfn.XLOOKUP($C$4&amp;$C$5&amp;$C$6,tblSchedule[Date]&amp;tblSchedule[Department]&amp;tblSchedule[Shift],tblSchedule[Start Date/Time],"")</f>
        <v>46200.791666666657</v>
      </c>
    </row>
    <row r="16" spans="2:8" x14ac:dyDescent="0.2">
      <c r="B16" s="3" t="s">
        <v>1333</v>
      </c>
      <c r="C16" s="7" cm="1">
        <f t="array" ref="C16">_xlfn.XLOOKUP($C$4&amp;$C$5&amp;$C$6,tblSchedule[Date]&amp;tblSchedule[Department]&amp;tblSchedule[Shift],tblSchedule[End Date/Time],"")</f>
        <v>46201.291666666657</v>
      </c>
    </row>
    <row r="17" spans="2:3" x14ac:dyDescent="0.2">
      <c r="B17" s="3" t="s">
        <v>98</v>
      </c>
      <c r="C17" t="str" cm="1">
        <f t="array" ref="C17">_xlfn.XLOOKUP($C$4&amp;$C$5&amp;$C$6,tblSchedule[Date]&amp;tblSchedule[Department]&amp;tblSchedule[Shift],tblSchedule[Schedule Status],"")</f>
        <v>Completed</v>
      </c>
    </row>
    <row r="18" spans="2:3" x14ac:dyDescent="0.2">
      <c r="B18" s="3" t="s">
        <v>6</v>
      </c>
      <c r="C18">
        <f>_xlfn.XLOOKUP($C$9,tblProviders[Provider ID],tblProviders[Years of Experience],"")</f>
        <v>6</v>
      </c>
    </row>
    <row r="19" spans="2:3" x14ac:dyDescent="0.2">
      <c r="B19" s="3" t="s">
        <v>7</v>
      </c>
      <c r="C19" t="str">
        <f>_xlfn.XLOOKUP($C$9,tblProviders[Provider ID],tblProviders[Employment Type],"")</f>
        <v>PRN</v>
      </c>
    </row>
    <row r="20" spans="2:3" x14ac:dyDescent="0.2">
      <c r="B20" s="3" t="s">
        <v>8</v>
      </c>
      <c r="C20" t="str">
        <f>_xlfn.XLOOKUP($C$9,tblProviders[Provider ID],tblProviders[Shift Preference],"")</f>
        <v>Both</v>
      </c>
    </row>
  </sheetData>
  <mergeCells count="1">
    <mergeCell ref="B2:H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F63A3EE-F2CA-A442-A5E1-6C98CBA102B7}">
          <x14:formula1>
            <xm:f>_xlfn.ANCHORARRAY(Lists!$B$2)</xm:f>
          </x14:formula1>
          <xm:sqref>C5</xm:sqref>
        </x14:dataValidation>
        <x14:dataValidation type="list" allowBlank="1" showInputMessage="1" showErrorMessage="1" xr:uid="{6EFF5F28-610D-EA4C-ADFE-468510A8C3E5}">
          <x14:formula1>
            <xm:f>_xlfn.ANCHORARRAY(Lists!$C$2)</xm:f>
          </x14:formula1>
          <xm:sqref>C6</xm:sqref>
        </x14:dataValidation>
        <x14:dataValidation type="list" allowBlank="1" showInputMessage="1" showErrorMessage="1" xr:uid="{0EDED036-7B62-C342-87A4-04D16FDD1E76}">
          <x14:formula1>
            <xm:f>_xlfn.ANCHORARRAY(Lists!$A$2)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12ED-AA54-EA48-924C-F15E762F06D4}">
  <dimension ref="A1:C62"/>
  <sheetViews>
    <sheetView workbookViewId="0">
      <selection activeCell="C26" sqref="C26"/>
    </sheetView>
  </sheetViews>
  <sheetFormatPr baseColWidth="10" defaultRowHeight="15" x14ac:dyDescent="0.2"/>
  <cols>
    <col min="2" max="2" width="16.83203125" bestFit="1" customWidth="1"/>
  </cols>
  <sheetData>
    <row r="1" spans="1:3" x14ac:dyDescent="0.2">
      <c r="A1" t="s">
        <v>1335</v>
      </c>
      <c r="B1" t="s">
        <v>1336</v>
      </c>
      <c r="C1" t="s">
        <v>1337</v>
      </c>
    </row>
    <row r="2" spans="1:3" x14ac:dyDescent="0.2">
      <c r="A2" s="5" cm="1">
        <f t="array" ref="A2:A62">_xlfn._xlws.SORT(_xlfn.UNIQUE(tblSchedule[Date]))</f>
        <v>46189</v>
      </c>
      <c r="B2" t="str" cm="1">
        <f t="array" ref="B2:B11">_xlfn._xlws.SORT(_xlfn.UNIQUE(tblProviders[Primary Department]))</f>
        <v>Cardiology</v>
      </c>
      <c r="C2" t="str" cm="1">
        <f t="array" ref="C2:C3">_xlfn._xlws.SORT(_xlfn.UNIQUE(tblSchedule[Shift]))</f>
        <v>Day</v>
      </c>
    </row>
    <row r="3" spans="1:3" x14ac:dyDescent="0.2">
      <c r="A3" s="5">
        <v>46190</v>
      </c>
      <c r="B3" t="str">
        <v>Emergency Medicine</v>
      </c>
      <c r="C3" t="str">
        <v>Night</v>
      </c>
    </row>
    <row r="4" spans="1:3" x14ac:dyDescent="0.2">
      <c r="A4" s="5">
        <v>46191</v>
      </c>
      <c r="B4" t="str">
        <v>General Surgery</v>
      </c>
    </row>
    <row r="5" spans="1:3" x14ac:dyDescent="0.2">
      <c r="A5" s="5">
        <v>46192</v>
      </c>
      <c r="B5" t="str">
        <v>Intensive Care</v>
      </c>
    </row>
    <row r="6" spans="1:3" x14ac:dyDescent="0.2">
      <c r="A6" s="5">
        <v>46193</v>
      </c>
      <c r="B6" t="str">
        <v>Internal Medicine</v>
      </c>
    </row>
    <row r="7" spans="1:3" x14ac:dyDescent="0.2">
      <c r="A7" s="5">
        <v>46194</v>
      </c>
      <c r="B7" t="str">
        <v>Neurology</v>
      </c>
    </row>
    <row r="8" spans="1:3" x14ac:dyDescent="0.2">
      <c r="A8" s="5">
        <v>46195</v>
      </c>
      <c r="B8" t="str">
        <v>Obstetrics</v>
      </c>
    </row>
    <row r="9" spans="1:3" x14ac:dyDescent="0.2">
      <c r="A9" s="5">
        <v>46196</v>
      </c>
      <c r="B9" t="str">
        <v>Orthopedics</v>
      </c>
    </row>
    <row r="10" spans="1:3" x14ac:dyDescent="0.2">
      <c r="A10" s="5">
        <v>46197</v>
      </c>
      <c r="B10" t="str">
        <v>Pediatrics</v>
      </c>
    </row>
    <row r="11" spans="1:3" x14ac:dyDescent="0.2">
      <c r="A11" s="5">
        <v>46198</v>
      </c>
      <c r="B11" t="str">
        <v>Radiology</v>
      </c>
    </row>
    <row r="12" spans="1:3" x14ac:dyDescent="0.2">
      <c r="A12" s="5">
        <v>46199</v>
      </c>
    </row>
    <row r="13" spans="1:3" x14ac:dyDescent="0.2">
      <c r="A13" s="5">
        <v>46200</v>
      </c>
    </row>
    <row r="14" spans="1:3" x14ac:dyDescent="0.2">
      <c r="A14" s="5">
        <v>46201</v>
      </c>
    </row>
    <row r="15" spans="1:3" x14ac:dyDescent="0.2">
      <c r="A15" s="5">
        <v>46202</v>
      </c>
    </row>
    <row r="16" spans="1:3" x14ac:dyDescent="0.2">
      <c r="A16" s="5">
        <v>46203</v>
      </c>
    </row>
    <row r="17" spans="1:1" x14ac:dyDescent="0.2">
      <c r="A17" s="5">
        <v>46204</v>
      </c>
    </row>
    <row r="18" spans="1:1" x14ac:dyDescent="0.2">
      <c r="A18" s="5">
        <v>46205</v>
      </c>
    </row>
    <row r="19" spans="1:1" x14ac:dyDescent="0.2">
      <c r="A19" s="5">
        <v>46206</v>
      </c>
    </row>
    <row r="20" spans="1:1" x14ac:dyDescent="0.2">
      <c r="A20" s="5">
        <v>46207</v>
      </c>
    </row>
    <row r="21" spans="1:1" x14ac:dyDescent="0.2">
      <c r="A21" s="5">
        <v>46208</v>
      </c>
    </row>
    <row r="22" spans="1:1" x14ac:dyDescent="0.2">
      <c r="A22" s="5">
        <v>46209</v>
      </c>
    </row>
    <row r="23" spans="1:1" x14ac:dyDescent="0.2">
      <c r="A23" s="5">
        <v>46210</v>
      </c>
    </row>
    <row r="24" spans="1:1" x14ac:dyDescent="0.2">
      <c r="A24" s="5">
        <v>46211</v>
      </c>
    </row>
    <row r="25" spans="1:1" x14ac:dyDescent="0.2">
      <c r="A25" s="5">
        <v>46212</v>
      </c>
    </row>
    <row r="26" spans="1:1" x14ac:dyDescent="0.2">
      <c r="A26" s="5">
        <v>46213</v>
      </c>
    </row>
    <row r="27" spans="1:1" x14ac:dyDescent="0.2">
      <c r="A27" s="5">
        <v>46214</v>
      </c>
    </row>
    <row r="28" spans="1:1" x14ac:dyDescent="0.2">
      <c r="A28" s="5">
        <v>46215</v>
      </c>
    </row>
    <row r="29" spans="1:1" x14ac:dyDescent="0.2">
      <c r="A29" s="5">
        <v>46216</v>
      </c>
    </row>
    <row r="30" spans="1:1" x14ac:dyDescent="0.2">
      <c r="A30" s="5">
        <v>46217</v>
      </c>
    </row>
    <row r="31" spans="1:1" x14ac:dyDescent="0.2">
      <c r="A31" s="5">
        <v>46218</v>
      </c>
    </row>
    <row r="32" spans="1:1" x14ac:dyDescent="0.2">
      <c r="A32" s="5">
        <v>46219</v>
      </c>
    </row>
    <row r="33" spans="1:1" x14ac:dyDescent="0.2">
      <c r="A33" s="5">
        <v>46220</v>
      </c>
    </row>
    <row r="34" spans="1:1" x14ac:dyDescent="0.2">
      <c r="A34" s="5">
        <v>46221</v>
      </c>
    </row>
    <row r="35" spans="1:1" x14ac:dyDescent="0.2">
      <c r="A35" s="5">
        <v>46222</v>
      </c>
    </row>
    <row r="36" spans="1:1" x14ac:dyDescent="0.2">
      <c r="A36" s="5">
        <v>46223</v>
      </c>
    </row>
    <row r="37" spans="1:1" x14ac:dyDescent="0.2">
      <c r="A37" s="5">
        <v>46224</v>
      </c>
    </row>
    <row r="38" spans="1:1" x14ac:dyDescent="0.2">
      <c r="A38" s="5">
        <v>46225</v>
      </c>
    </row>
    <row r="39" spans="1:1" x14ac:dyDescent="0.2">
      <c r="A39" s="5">
        <v>46226</v>
      </c>
    </row>
    <row r="40" spans="1:1" x14ac:dyDescent="0.2">
      <c r="A40" s="5">
        <v>46227</v>
      </c>
    </row>
    <row r="41" spans="1:1" x14ac:dyDescent="0.2">
      <c r="A41" s="5">
        <v>46228</v>
      </c>
    </row>
    <row r="42" spans="1:1" x14ac:dyDescent="0.2">
      <c r="A42" s="5">
        <v>46229</v>
      </c>
    </row>
    <row r="43" spans="1:1" x14ac:dyDescent="0.2">
      <c r="A43" s="5">
        <v>46230</v>
      </c>
    </row>
    <row r="44" spans="1:1" x14ac:dyDescent="0.2">
      <c r="A44" s="5">
        <v>46231</v>
      </c>
    </row>
    <row r="45" spans="1:1" x14ac:dyDescent="0.2">
      <c r="A45" s="5">
        <v>46232</v>
      </c>
    </row>
    <row r="46" spans="1:1" x14ac:dyDescent="0.2">
      <c r="A46" s="5">
        <v>46233</v>
      </c>
    </row>
    <row r="47" spans="1:1" x14ac:dyDescent="0.2">
      <c r="A47" s="5">
        <v>46234</v>
      </c>
    </row>
    <row r="48" spans="1:1" x14ac:dyDescent="0.2">
      <c r="A48" s="5">
        <v>46235</v>
      </c>
    </row>
    <row r="49" spans="1:1" x14ac:dyDescent="0.2">
      <c r="A49" s="5">
        <v>46236</v>
      </c>
    </row>
    <row r="50" spans="1:1" x14ac:dyDescent="0.2">
      <c r="A50" s="5">
        <v>46237</v>
      </c>
    </row>
    <row r="51" spans="1:1" x14ac:dyDescent="0.2">
      <c r="A51" s="5">
        <v>46238</v>
      </c>
    </row>
    <row r="52" spans="1:1" x14ac:dyDescent="0.2">
      <c r="A52" s="5">
        <v>46239</v>
      </c>
    </row>
    <row r="53" spans="1:1" x14ac:dyDescent="0.2">
      <c r="A53" s="5">
        <v>46240</v>
      </c>
    </row>
    <row r="54" spans="1:1" x14ac:dyDescent="0.2">
      <c r="A54" s="5">
        <v>46241</v>
      </c>
    </row>
    <row r="55" spans="1:1" x14ac:dyDescent="0.2">
      <c r="A55" s="5">
        <v>46242</v>
      </c>
    </row>
    <row r="56" spans="1:1" x14ac:dyDescent="0.2">
      <c r="A56" s="5">
        <v>46243</v>
      </c>
    </row>
    <row r="57" spans="1:1" x14ac:dyDescent="0.2">
      <c r="A57" s="5">
        <v>46244</v>
      </c>
    </row>
    <row r="58" spans="1:1" x14ac:dyDescent="0.2">
      <c r="A58" s="5">
        <v>46245</v>
      </c>
    </row>
    <row r="59" spans="1:1" x14ac:dyDescent="0.2">
      <c r="A59" s="5">
        <v>46246</v>
      </c>
    </row>
    <row r="60" spans="1:1" x14ac:dyDescent="0.2">
      <c r="A60" s="5">
        <v>46247</v>
      </c>
    </row>
    <row r="61" spans="1:1" x14ac:dyDescent="0.2">
      <c r="A61" s="5">
        <v>46248</v>
      </c>
    </row>
    <row r="62" spans="1:1" x14ac:dyDescent="0.2">
      <c r="A62" s="5">
        <v>46249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0575-B21C-0146-9B28-8CF0ED06B1DF}">
  <dimension ref="A3:B50"/>
  <sheetViews>
    <sheetView topLeftCell="A2" workbookViewId="0">
      <selection activeCell="B3" sqref="B3"/>
    </sheetView>
  </sheetViews>
  <sheetFormatPr baseColWidth="10" defaultRowHeight="15" x14ac:dyDescent="0.2"/>
  <cols>
    <col min="1" max="1" width="12.1640625" bestFit="1" customWidth="1"/>
    <col min="2" max="2" width="9.5" bestFit="1" customWidth="1"/>
  </cols>
  <sheetData>
    <row r="3" spans="1:2" x14ac:dyDescent="0.2">
      <c r="A3" s="10" t="s">
        <v>1338</v>
      </c>
      <c r="B3" t="s">
        <v>1341</v>
      </c>
    </row>
    <row r="4" spans="1:2" x14ac:dyDescent="0.2">
      <c r="A4" s="11" t="s">
        <v>69</v>
      </c>
      <c r="B4" s="12">
        <v>17</v>
      </c>
    </row>
    <row r="5" spans="1:2" x14ac:dyDescent="0.2">
      <c r="A5" s="11" t="s">
        <v>47</v>
      </c>
      <c r="B5" s="12">
        <v>19</v>
      </c>
    </row>
    <row r="6" spans="1:2" x14ac:dyDescent="0.2">
      <c r="A6" s="11" t="s">
        <v>42</v>
      </c>
      <c r="B6" s="12">
        <v>19</v>
      </c>
    </row>
    <row r="7" spans="1:2" x14ac:dyDescent="0.2">
      <c r="A7" s="11" t="s">
        <v>51</v>
      </c>
      <c r="B7" s="12">
        <v>20</v>
      </c>
    </row>
    <row r="8" spans="1:2" x14ac:dyDescent="0.2">
      <c r="A8" s="11" t="s">
        <v>81</v>
      </c>
      <c r="B8" s="12">
        <v>20</v>
      </c>
    </row>
    <row r="9" spans="1:2" x14ac:dyDescent="0.2">
      <c r="A9" s="11" t="s">
        <v>79</v>
      </c>
      <c r="B9" s="12">
        <v>21</v>
      </c>
    </row>
    <row r="10" spans="1:2" x14ac:dyDescent="0.2">
      <c r="A10" s="11" t="s">
        <v>87</v>
      </c>
      <c r="B10" s="12">
        <v>21</v>
      </c>
    </row>
    <row r="11" spans="1:2" x14ac:dyDescent="0.2">
      <c r="A11" s="11" t="s">
        <v>65</v>
      </c>
      <c r="B11" s="12">
        <v>22</v>
      </c>
    </row>
    <row r="12" spans="1:2" x14ac:dyDescent="0.2">
      <c r="A12" s="11" t="s">
        <v>41</v>
      </c>
      <c r="B12" s="12">
        <v>22</v>
      </c>
    </row>
    <row r="13" spans="1:2" x14ac:dyDescent="0.2">
      <c r="A13" s="11" t="s">
        <v>68</v>
      </c>
      <c r="B13" s="12">
        <v>22</v>
      </c>
    </row>
    <row r="14" spans="1:2" x14ac:dyDescent="0.2">
      <c r="A14" s="11" t="s">
        <v>46</v>
      </c>
      <c r="B14" s="12">
        <v>23</v>
      </c>
    </row>
    <row r="15" spans="1:2" x14ac:dyDescent="0.2">
      <c r="A15" s="11" t="s">
        <v>86</v>
      </c>
      <c r="B15" s="12">
        <v>23</v>
      </c>
    </row>
    <row r="16" spans="1:2" x14ac:dyDescent="0.2">
      <c r="A16" s="11" t="s">
        <v>35</v>
      </c>
      <c r="B16" s="12">
        <v>23</v>
      </c>
    </row>
    <row r="17" spans="1:2" x14ac:dyDescent="0.2">
      <c r="A17" s="11" t="s">
        <v>45</v>
      </c>
      <c r="B17" s="12">
        <v>23</v>
      </c>
    </row>
    <row r="18" spans="1:2" x14ac:dyDescent="0.2">
      <c r="A18" s="11" t="s">
        <v>54</v>
      </c>
      <c r="B18" s="12">
        <v>24</v>
      </c>
    </row>
    <row r="19" spans="1:2" x14ac:dyDescent="0.2">
      <c r="A19" s="11" t="s">
        <v>62</v>
      </c>
      <c r="B19" s="12">
        <v>24</v>
      </c>
    </row>
    <row r="20" spans="1:2" x14ac:dyDescent="0.2">
      <c r="A20" s="11" t="s">
        <v>52</v>
      </c>
      <c r="B20" s="12">
        <v>24</v>
      </c>
    </row>
    <row r="21" spans="1:2" x14ac:dyDescent="0.2">
      <c r="A21" s="11" t="s">
        <v>63</v>
      </c>
      <c r="B21" s="12">
        <v>24</v>
      </c>
    </row>
    <row r="22" spans="1:2" x14ac:dyDescent="0.2">
      <c r="A22" s="11" t="s">
        <v>44</v>
      </c>
      <c r="B22" s="12">
        <v>24</v>
      </c>
    </row>
    <row r="23" spans="1:2" x14ac:dyDescent="0.2">
      <c r="A23" s="11" t="s">
        <v>88</v>
      </c>
      <c r="B23" s="12">
        <v>24</v>
      </c>
    </row>
    <row r="24" spans="1:2" x14ac:dyDescent="0.2">
      <c r="A24" s="11" t="s">
        <v>84</v>
      </c>
      <c r="B24" s="12">
        <v>25</v>
      </c>
    </row>
    <row r="25" spans="1:2" x14ac:dyDescent="0.2">
      <c r="A25" s="11" t="s">
        <v>82</v>
      </c>
      <c r="B25" s="12">
        <v>25</v>
      </c>
    </row>
    <row r="26" spans="1:2" x14ac:dyDescent="0.2">
      <c r="A26" s="11" t="s">
        <v>53</v>
      </c>
      <c r="B26" s="12">
        <v>25</v>
      </c>
    </row>
    <row r="27" spans="1:2" x14ac:dyDescent="0.2">
      <c r="A27" s="11" t="s">
        <v>67</v>
      </c>
      <c r="B27" s="12">
        <v>26</v>
      </c>
    </row>
    <row r="28" spans="1:2" x14ac:dyDescent="0.2">
      <c r="A28" s="11" t="s">
        <v>55</v>
      </c>
      <c r="B28" s="12">
        <v>26</v>
      </c>
    </row>
    <row r="29" spans="1:2" x14ac:dyDescent="0.2">
      <c r="A29" s="11" t="s">
        <v>66</v>
      </c>
      <c r="B29" s="12">
        <v>26</v>
      </c>
    </row>
    <row r="30" spans="1:2" x14ac:dyDescent="0.2">
      <c r="A30" s="11" t="s">
        <v>64</v>
      </c>
      <c r="B30" s="12">
        <v>26</v>
      </c>
    </row>
    <row r="31" spans="1:2" x14ac:dyDescent="0.2">
      <c r="A31" s="11" t="s">
        <v>83</v>
      </c>
      <c r="B31" s="12">
        <v>27</v>
      </c>
    </row>
    <row r="32" spans="1:2" x14ac:dyDescent="0.2">
      <c r="A32" s="11" t="s">
        <v>58</v>
      </c>
      <c r="B32" s="12">
        <v>27</v>
      </c>
    </row>
    <row r="33" spans="1:2" x14ac:dyDescent="0.2">
      <c r="A33" s="11" t="s">
        <v>70</v>
      </c>
      <c r="B33" s="12">
        <v>27</v>
      </c>
    </row>
    <row r="34" spans="1:2" x14ac:dyDescent="0.2">
      <c r="A34" s="11" t="s">
        <v>76</v>
      </c>
      <c r="B34" s="12">
        <v>28</v>
      </c>
    </row>
    <row r="35" spans="1:2" x14ac:dyDescent="0.2">
      <c r="A35" s="11" t="s">
        <v>75</v>
      </c>
      <c r="B35" s="12">
        <v>28</v>
      </c>
    </row>
    <row r="36" spans="1:2" x14ac:dyDescent="0.2">
      <c r="A36" s="11" t="s">
        <v>37</v>
      </c>
      <c r="B36" s="12">
        <v>28</v>
      </c>
    </row>
    <row r="37" spans="1:2" x14ac:dyDescent="0.2">
      <c r="A37" s="11" t="s">
        <v>85</v>
      </c>
      <c r="B37" s="12">
        <v>29</v>
      </c>
    </row>
    <row r="38" spans="1:2" x14ac:dyDescent="0.2">
      <c r="A38" s="11" t="s">
        <v>80</v>
      </c>
      <c r="B38" s="12">
        <v>29</v>
      </c>
    </row>
    <row r="39" spans="1:2" x14ac:dyDescent="0.2">
      <c r="A39" s="11" t="s">
        <v>49</v>
      </c>
      <c r="B39" s="12">
        <v>29</v>
      </c>
    </row>
    <row r="40" spans="1:2" x14ac:dyDescent="0.2">
      <c r="A40" s="11" t="s">
        <v>71</v>
      </c>
      <c r="B40" s="12">
        <v>30</v>
      </c>
    </row>
    <row r="41" spans="1:2" x14ac:dyDescent="0.2">
      <c r="A41" s="11" t="s">
        <v>78</v>
      </c>
      <c r="B41" s="12">
        <v>30</v>
      </c>
    </row>
    <row r="42" spans="1:2" x14ac:dyDescent="0.2">
      <c r="A42" s="11" t="s">
        <v>40</v>
      </c>
      <c r="B42" s="12">
        <v>30</v>
      </c>
    </row>
    <row r="43" spans="1:2" x14ac:dyDescent="0.2">
      <c r="A43" s="11" t="s">
        <v>61</v>
      </c>
      <c r="B43" s="12">
        <v>32</v>
      </c>
    </row>
    <row r="44" spans="1:2" x14ac:dyDescent="0.2">
      <c r="A44" s="11" t="s">
        <v>43</v>
      </c>
      <c r="B44" s="12">
        <v>33</v>
      </c>
    </row>
    <row r="45" spans="1:2" x14ac:dyDescent="0.2">
      <c r="A45" s="11" t="s">
        <v>74</v>
      </c>
      <c r="B45" s="12">
        <v>36</v>
      </c>
    </row>
    <row r="46" spans="1:2" x14ac:dyDescent="0.2">
      <c r="A46" s="11" t="s">
        <v>59</v>
      </c>
      <c r="B46" s="12">
        <v>37</v>
      </c>
    </row>
    <row r="47" spans="1:2" x14ac:dyDescent="0.2">
      <c r="A47" s="11" t="s">
        <v>19</v>
      </c>
      <c r="B47" s="12">
        <v>40</v>
      </c>
    </row>
    <row r="48" spans="1:2" x14ac:dyDescent="0.2">
      <c r="A48" s="11" t="s">
        <v>13</v>
      </c>
      <c r="B48" s="12">
        <v>41</v>
      </c>
    </row>
    <row r="49" spans="1:2" x14ac:dyDescent="0.2">
      <c r="A49" s="11" t="s">
        <v>31</v>
      </c>
      <c r="B49" s="12">
        <v>41</v>
      </c>
    </row>
    <row r="50" spans="1:2" x14ac:dyDescent="0.2">
      <c r="A50" s="11" t="s">
        <v>1339</v>
      </c>
      <c r="B50" s="12">
        <v>1220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E3DF-7DD4-9448-A516-B08F9E97027B}">
  <dimension ref="A3:E15"/>
  <sheetViews>
    <sheetView workbookViewId="0">
      <selection activeCell="A3" sqref="A3"/>
    </sheetView>
  </sheetViews>
  <sheetFormatPr baseColWidth="10" defaultRowHeight="15" x14ac:dyDescent="0.2"/>
  <cols>
    <col min="1" max="1" width="16.83203125" bestFit="1" customWidth="1"/>
    <col min="2" max="2" width="14.83203125" bestFit="1" customWidth="1"/>
    <col min="3" max="4" width="4.1640625" bestFit="1" customWidth="1"/>
    <col min="5" max="5" width="10" bestFit="1" customWidth="1"/>
    <col min="6" max="62" width="17.6640625" bestFit="1" customWidth="1"/>
    <col min="63" max="63" width="8.1640625" bestFit="1" customWidth="1"/>
    <col min="64" max="124" width="17.6640625" bestFit="1" customWidth="1"/>
    <col min="125" max="125" width="9.5" bestFit="1" customWidth="1"/>
    <col min="126" max="126" width="10" bestFit="1" customWidth="1"/>
  </cols>
  <sheetData>
    <row r="3" spans="1:5" x14ac:dyDescent="0.2">
      <c r="A3" s="10" t="s">
        <v>1340</v>
      </c>
      <c r="B3" s="10" t="s">
        <v>1342</v>
      </c>
    </row>
    <row r="4" spans="1:5" x14ac:dyDescent="0.2">
      <c r="A4" s="10" t="s">
        <v>1338</v>
      </c>
      <c r="B4" t="s">
        <v>1343</v>
      </c>
      <c r="C4" t="s">
        <v>1344</v>
      </c>
      <c r="D4" t="s">
        <v>1345</v>
      </c>
      <c r="E4" t="s">
        <v>1339</v>
      </c>
    </row>
    <row r="5" spans="1:5" x14ac:dyDescent="0.2">
      <c r="A5" s="11" t="s">
        <v>48</v>
      </c>
      <c r="B5" s="12">
        <v>30</v>
      </c>
      <c r="C5" s="12">
        <v>62</v>
      </c>
      <c r="D5" s="12">
        <v>30</v>
      </c>
      <c r="E5" s="12">
        <v>122</v>
      </c>
    </row>
    <row r="6" spans="1:5" x14ac:dyDescent="0.2">
      <c r="A6" s="11" t="s">
        <v>32</v>
      </c>
      <c r="B6" s="12">
        <v>30</v>
      </c>
      <c r="C6" s="12">
        <v>62</v>
      </c>
      <c r="D6" s="12">
        <v>30</v>
      </c>
      <c r="E6" s="12">
        <v>122</v>
      </c>
    </row>
    <row r="7" spans="1:5" x14ac:dyDescent="0.2">
      <c r="A7" s="11" t="s">
        <v>29</v>
      </c>
      <c r="B7" s="12">
        <v>30</v>
      </c>
      <c r="C7" s="12">
        <v>62</v>
      </c>
      <c r="D7" s="12">
        <v>30</v>
      </c>
      <c r="E7" s="12">
        <v>122</v>
      </c>
    </row>
    <row r="8" spans="1:5" x14ac:dyDescent="0.2">
      <c r="A8" s="11" t="s">
        <v>56</v>
      </c>
      <c r="B8" s="12">
        <v>30</v>
      </c>
      <c r="C8" s="12">
        <v>62</v>
      </c>
      <c r="D8" s="12">
        <v>30</v>
      </c>
      <c r="E8" s="12">
        <v>122</v>
      </c>
    </row>
    <row r="9" spans="1:5" x14ac:dyDescent="0.2">
      <c r="A9" s="11" t="s">
        <v>50</v>
      </c>
      <c r="B9" s="12">
        <v>30</v>
      </c>
      <c r="C9" s="12">
        <v>62</v>
      </c>
      <c r="D9" s="12">
        <v>30</v>
      </c>
      <c r="E9" s="12">
        <v>122</v>
      </c>
    </row>
    <row r="10" spans="1:5" x14ac:dyDescent="0.2">
      <c r="A10" s="11" t="s">
        <v>36</v>
      </c>
      <c r="B10" s="12">
        <v>30</v>
      </c>
      <c r="C10" s="12">
        <v>62</v>
      </c>
      <c r="D10" s="12">
        <v>30</v>
      </c>
      <c r="E10" s="12">
        <v>122</v>
      </c>
    </row>
    <row r="11" spans="1:5" x14ac:dyDescent="0.2">
      <c r="A11" s="11" t="s">
        <v>72</v>
      </c>
      <c r="B11" s="12">
        <v>30</v>
      </c>
      <c r="C11" s="12">
        <v>62</v>
      </c>
      <c r="D11" s="12">
        <v>30</v>
      </c>
      <c r="E11" s="12">
        <v>122</v>
      </c>
    </row>
    <row r="12" spans="1:5" x14ac:dyDescent="0.2">
      <c r="A12" s="11" t="s">
        <v>38</v>
      </c>
      <c r="B12" s="12">
        <v>30</v>
      </c>
      <c r="C12" s="12">
        <v>62</v>
      </c>
      <c r="D12" s="12">
        <v>30</v>
      </c>
      <c r="E12" s="12">
        <v>122</v>
      </c>
    </row>
    <row r="13" spans="1:5" x14ac:dyDescent="0.2">
      <c r="A13" s="11" t="s">
        <v>14</v>
      </c>
      <c r="B13" s="12">
        <v>30</v>
      </c>
      <c r="C13" s="12">
        <v>62</v>
      </c>
      <c r="D13" s="12">
        <v>30</v>
      </c>
      <c r="E13" s="12">
        <v>122</v>
      </c>
    </row>
    <row r="14" spans="1:5" x14ac:dyDescent="0.2">
      <c r="A14" s="11" t="s">
        <v>20</v>
      </c>
      <c r="B14" s="12">
        <v>30</v>
      </c>
      <c r="C14" s="12">
        <v>62</v>
      </c>
      <c r="D14" s="12">
        <v>30</v>
      </c>
      <c r="E14" s="12">
        <v>122</v>
      </c>
    </row>
    <row r="15" spans="1:5" x14ac:dyDescent="0.2">
      <c r="A15" s="11" t="s">
        <v>1339</v>
      </c>
      <c r="B15" s="12">
        <v>300</v>
      </c>
      <c r="C15" s="12">
        <v>620</v>
      </c>
      <c r="D15" s="12">
        <v>300</v>
      </c>
      <c r="E15" s="12">
        <v>1220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D37D-A839-A840-8875-EBA2100728A9}">
  <dimension ref="A3:B7"/>
  <sheetViews>
    <sheetView workbookViewId="0">
      <selection activeCell="A5" sqref="A5"/>
    </sheetView>
  </sheetViews>
  <sheetFormatPr baseColWidth="10" defaultRowHeight="15" x14ac:dyDescent="0.2"/>
  <cols>
    <col min="1" max="1" width="15.83203125" bestFit="1" customWidth="1"/>
    <col min="2" max="2" width="9.5" bestFit="1" customWidth="1"/>
  </cols>
  <sheetData>
    <row r="3" spans="1:2" x14ac:dyDescent="0.2">
      <c r="A3" s="10" t="s">
        <v>98</v>
      </c>
      <c r="B3" t="s">
        <v>1341</v>
      </c>
    </row>
    <row r="4" spans="1:2" x14ac:dyDescent="0.2">
      <c r="A4" s="11" t="s">
        <v>18</v>
      </c>
      <c r="B4" s="12">
        <v>20</v>
      </c>
    </row>
    <row r="5" spans="1:2" x14ac:dyDescent="0.2">
      <c r="A5" s="11" t="s">
        <v>102</v>
      </c>
      <c r="B5" s="12">
        <v>600</v>
      </c>
    </row>
    <row r="6" spans="1:2" x14ac:dyDescent="0.2">
      <c r="A6" s="11" t="s">
        <v>731</v>
      </c>
      <c r="B6" s="12">
        <v>600</v>
      </c>
    </row>
    <row r="7" spans="1:2" x14ac:dyDescent="0.2">
      <c r="A7" s="11" t="s">
        <v>1339</v>
      </c>
      <c r="B7" s="12">
        <v>1220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0C8D-BDC4-A047-B01F-107497F08F0E}">
  <dimension ref="A3:E15"/>
  <sheetViews>
    <sheetView tabSelected="1" workbookViewId="0">
      <selection activeCell="A3" sqref="A3"/>
    </sheetView>
  </sheetViews>
  <sheetFormatPr baseColWidth="10" defaultRowHeight="15" x14ac:dyDescent="0.2"/>
  <cols>
    <col min="1" max="1" width="16.83203125" bestFit="1" customWidth="1"/>
    <col min="2" max="2" width="14.83203125" bestFit="1" customWidth="1"/>
    <col min="3" max="3" width="6.33203125" bestFit="1" customWidth="1"/>
    <col min="4" max="4" width="8" bestFit="1" customWidth="1"/>
    <col min="5" max="5" width="10" bestFit="1" customWidth="1"/>
  </cols>
  <sheetData>
    <row r="3" spans="1:5" x14ac:dyDescent="0.2">
      <c r="A3" s="10" t="s">
        <v>1340</v>
      </c>
      <c r="B3" s="10" t="s">
        <v>1342</v>
      </c>
    </row>
    <row r="4" spans="1:5" x14ac:dyDescent="0.2">
      <c r="A4" s="10" t="s">
        <v>1338</v>
      </c>
      <c r="B4" t="s">
        <v>26</v>
      </c>
      <c r="C4" t="s">
        <v>15</v>
      </c>
      <c r="D4" t="s">
        <v>21</v>
      </c>
      <c r="E4" t="s">
        <v>1339</v>
      </c>
    </row>
    <row r="5" spans="1:5" x14ac:dyDescent="0.2">
      <c r="A5" s="11" t="s">
        <v>48</v>
      </c>
      <c r="B5" s="12">
        <v>1</v>
      </c>
      <c r="C5" s="12">
        <v>1</v>
      </c>
      <c r="D5" s="12">
        <v>3</v>
      </c>
      <c r="E5" s="12">
        <v>5</v>
      </c>
    </row>
    <row r="6" spans="1:5" x14ac:dyDescent="0.2">
      <c r="A6" s="11" t="s">
        <v>32</v>
      </c>
      <c r="B6" s="12">
        <v>1</v>
      </c>
      <c r="C6" s="12">
        <v>1</v>
      </c>
      <c r="D6" s="12">
        <v>3</v>
      </c>
      <c r="E6" s="12">
        <v>5</v>
      </c>
    </row>
    <row r="7" spans="1:5" x14ac:dyDescent="0.2">
      <c r="A7" s="11" t="s">
        <v>29</v>
      </c>
      <c r="B7" s="12">
        <v>1</v>
      </c>
      <c r="C7" s="12">
        <v>1</v>
      </c>
      <c r="D7" s="12">
        <v>3</v>
      </c>
      <c r="E7" s="12">
        <v>5</v>
      </c>
    </row>
    <row r="8" spans="1:5" x14ac:dyDescent="0.2">
      <c r="A8" s="11" t="s">
        <v>56</v>
      </c>
      <c r="B8" s="12">
        <v>1</v>
      </c>
      <c r="C8" s="12">
        <v>1</v>
      </c>
      <c r="D8" s="12">
        <v>3</v>
      </c>
      <c r="E8" s="12">
        <v>5</v>
      </c>
    </row>
    <row r="9" spans="1:5" x14ac:dyDescent="0.2">
      <c r="A9" s="11" t="s">
        <v>50</v>
      </c>
      <c r="B9" s="12">
        <v>1</v>
      </c>
      <c r="C9" s="12">
        <v>1</v>
      </c>
      <c r="D9" s="12">
        <v>3</v>
      </c>
      <c r="E9" s="12">
        <v>5</v>
      </c>
    </row>
    <row r="10" spans="1:5" x14ac:dyDescent="0.2">
      <c r="A10" s="11" t="s">
        <v>36</v>
      </c>
      <c r="B10" s="12">
        <v>1</v>
      </c>
      <c r="C10" s="12">
        <v>1</v>
      </c>
      <c r="D10" s="12">
        <v>3</v>
      </c>
      <c r="E10" s="12">
        <v>5</v>
      </c>
    </row>
    <row r="11" spans="1:5" x14ac:dyDescent="0.2">
      <c r="A11" s="11" t="s">
        <v>72</v>
      </c>
      <c r="B11" s="12">
        <v>1</v>
      </c>
      <c r="C11" s="12">
        <v>1</v>
      </c>
      <c r="D11" s="12">
        <v>3</v>
      </c>
      <c r="E11" s="12">
        <v>5</v>
      </c>
    </row>
    <row r="12" spans="1:5" x14ac:dyDescent="0.2">
      <c r="A12" s="11" t="s">
        <v>38</v>
      </c>
      <c r="B12" s="12">
        <v>1</v>
      </c>
      <c r="C12" s="12">
        <v>1</v>
      </c>
      <c r="D12" s="12">
        <v>3</v>
      </c>
      <c r="E12" s="12">
        <v>5</v>
      </c>
    </row>
    <row r="13" spans="1:5" x14ac:dyDescent="0.2">
      <c r="A13" s="11" t="s">
        <v>14</v>
      </c>
      <c r="B13" s="12">
        <v>1</v>
      </c>
      <c r="C13" s="12">
        <v>1</v>
      </c>
      <c r="D13" s="12">
        <v>3</v>
      </c>
      <c r="E13" s="12">
        <v>5</v>
      </c>
    </row>
    <row r="14" spans="1:5" x14ac:dyDescent="0.2">
      <c r="A14" s="11" t="s">
        <v>20</v>
      </c>
      <c r="B14" s="12">
        <v>1</v>
      </c>
      <c r="C14" s="12">
        <v>1</v>
      </c>
      <c r="D14" s="12">
        <v>3</v>
      </c>
      <c r="E14" s="12">
        <v>5</v>
      </c>
    </row>
    <row r="15" spans="1:5" x14ac:dyDescent="0.2">
      <c r="A15" s="11" t="s">
        <v>1339</v>
      </c>
      <c r="B15" s="12">
        <v>10</v>
      </c>
      <c r="C15" s="12">
        <v>10</v>
      </c>
      <c r="D15" s="12">
        <v>30</v>
      </c>
      <c r="E15" s="1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Providers</vt:lpstr>
      <vt:lpstr>Schedule</vt:lpstr>
      <vt:lpstr>Lookup</vt:lpstr>
      <vt:lpstr>Lists</vt:lpstr>
      <vt:lpstr>Pivot - Provider Workload</vt:lpstr>
      <vt:lpstr>Pivot - Department Coverage</vt:lpstr>
      <vt:lpstr>Pivot - Schedule Status</vt:lpstr>
      <vt:lpstr>Pivot - Provider 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Keona Lollis</cp:lastModifiedBy>
  <dcterms:created xsi:type="dcterms:W3CDTF">2026-07-16T05:40:32Z</dcterms:created>
  <dcterms:modified xsi:type="dcterms:W3CDTF">2026-07-16T13:13:03Z</dcterms:modified>
</cp:coreProperties>
</file>